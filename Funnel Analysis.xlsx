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other\github\"/>
    </mc:Choice>
  </mc:AlternateContent>
  <xr:revisionPtr revIDLastSave="0" documentId="13_ncr:1_{5385B8E6-84D7-4350-82AA-E32C5D8FF5BF}" xr6:coauthVersionLast="47" xr6:coauthVersionMax="47" xr10:uidLastSave="{00000000-0000-0000-0000-000000000000}"/>
  <bookViews>
    <workbookView xWindow="-110" yWindow="-110" windowWidth="19420" windowHeight="11020" xr2:uid="{8CB13262-95FF-47FD-AD9C-13FB0DCE8B4C}"/>
  </bookViews>
  <sheets>
    <sheet name="user_table" sheetId="2" r:id="rId1"/>
    <sheet name="home_page" sheetId="3" r:id="rId2"/>
    <sheet name="search_page" sheetId="4" r:id="rId3"/>
    <sheet name="confirmation_page" sheetId="6" r:id="rId4"/>
    <sheet name="payment_page" sheetId="5" r:id="rId5"/>
    <sheet name="Funnel Summary" sheetId="1" r:id="rId6"/>
  </sheets>
  <definedNames>
    <definedName name="_xlchart.v2.0" hidden="1">'Funnel Summary'!$A$2:$A$5</definedName>
    <definedName name="_xlchart.v2.1" hidden="1">'Funnel Summary'!$B$1</definedName>
    <definedName name="_xlchart.v2.2" hidden="1">'Funnel Summary'!$B$2:$B$5</definedName>
    <definedName name="_xlchart.v2.3" hidden="1">'Funnel Summary'!$A$2:$A$5</definedName>
    <definedName name="_xlchart.v2.4" hidden="1">'Funnel Summary'!$B$1</definedName>
    <definedName name="_xlchart.v2.5" hidden="1">'Funnel Summary'!$B$2:$B$5</definedName>
    <definedName name="ExternalData_1" localSheetId="3" hidden="1">'confirmation_page'!$A$1:$B$122</definedName>
    <definedName name="ExternalData_1" localSheetId="1" hidden="1">home_page!$A$1:$B$1001</definedName>
    <definedName name="ExternalData_1" localSheetId="4" hidden="1">payment_page!$A$1:$B$221</definedName>
    <definedName name="ExternalData_1" localSheetId="2" hidden="1">search_page!$A$1:$B$551</definedName>
    <definedName name="ExternalData_1" localSheetId="0" hidden="1">user_table!$A$1:$F$1001</definedName>
  </definedNames>
  <calcPr calcId="191029"/>
  <pivotCaches>
    <pivotCache cacheId="11" r:id="rId7"/>
    <pivotCache cacheId="17" r:id="rId8"/>
    <pivotCache cacheId="24" r:id="rId9"/>
    <pivotCache cacheId="3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B5" i="1"/>
  <c r="B4" i="1"/>
  <c r="B3" i="1"/>
  <c r="B2" i="1"/>
  <c r="E4" i="1" l="1"/>
  <c r="C4" i="1"/>
  <c r="D4" i="1" s="1"/>
  <c r="C5" i="1"/>
  <c r="D5" i="1" s="1"/>
  <c r="C3" i="1"/>
  <c r="D3" i="1" s="1"/>
  <c r="E3" i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62362-2E34-4CF2-B868-34136B1CF38A}" keepAlive="1" name="Query - confirmation_page" description="Connection to the 'confirmation_page' query in the workbook." type="5" refreshedVersion="8" background="1" saveData="1">
    <dbPr connection="Provider=Microsoft.Mashup.OleDb.1;Data Source=$Workbook$;Location=confirmation_page;Extended Properties=&quot;&quot;" command="SELECT * FROM [confirmation_page]"/>
  </connection>
  <connection id="2" xr16:uid="{A18CA401-B42A-4235-8284-E7776092E0F4}" keepAlive="1" name="Query - home_page" description="Connection to the 'home_page' query in the workbook." type="5" refreshedVersion="8" background="1" saveData="1">
    <dbPr connection="Provider=Microsoft.Mashup.OleDb.1;Data Source=$Workbook$;Location=home_page;Extended Properties=&quot;&quot;" command="SELECT * FROM [home_page]"/>
  </connection>
  <connection id="3" xr16:uid="{B3B4C47A-C03C-4033-94BD-8A8AA2FD911C}" keepAlive="1" name="Query - payment_page" description="Connection to the 'payment_page' query in the workbook." type="5" refreshedVersion="8" background="1" saveData="1">
    <dbPr connection="Provider=Microsoft.Mashup.OleDb.1;Data Source=$Workbook$;Location=payment_page;Extended Properties=&quot;&quot;" command="SELECT * FROM [payment_page]"/>
  </connection>
  <connection id="4" xr16:uid="{5080E919-6C78-44B2-861E-49A170993F3A}" keepAlive="1" name="Query - search_page" description="Connection to the 'search_page' query in the workbook." type="5" refreshedVersion="8" background="1" saveData="1">
    <dbPr connection="Provider=Microsoft.Mashup.OleDb.1;Data Source=$Workbook$;Location=search_page;Extended Properties=&quot;&quot;" command="SELECT * FROM [search_page]"/>
  </connection>
  <connection id="5" xr16:uid="{3C5CA8A3-807E-44A8-8FB7-DAC0EFF0DC46}" keepAlive="1" name="Query - user_table" description="Connection to the 'user_table' query in the workbook." type="5" refreshedVersion="8" background="1" saveData="1">
    <dbPr connection="Provider=Microsoft.Mashup.OleDb.1;Data Source=$Workbook$;Location=user_table;Extended Properties=&quot;&quot;" command="SELECT * FROM [user_table]"/>
  </connection>
</connections>
</file>

<file path=xl/sharedStrings.xml><?xml version="1.0" encoding="utf-8"?>
<sst xmlns="http://schemas.openxmlformats.org/spreadsheetml/2006/main" count="4210" uniqueCount="80">
  <si>
    <t>user_id</t>
  </si>
  <si>
    <t>gender</t>
  </si>
  <si>
    <t>age</t>
  </si>
  <si>
    <t>country</t>
  </si>
  <si>
    <t>device</t>
  </si>
  <si>
    <t>traffic_source</t>
  </si>
  <si>
    <t>Male</t>
  </si>
  <si>
    <t>Australia</t>
  </si>
  <si>
    <t>Desktop</t>
  </si>
  <si>
    <t>Organic</t>
  </si>
  <si>
    <t>Female</t>
  </si>
  <si>
    <t>UK</t>
  </si>
  <si>
    <t>Mobile</t>
  </si>
  <si>
    <t>Germany</t>
  </si>
  <si>
    <t>Social</t>
  </si>
  <si>
    <t>Paid</t>
  </si>
  <si>
    <t>USA</t>
  </si>
  <si>
    <t>Email</t>
  </si>
  <si>
    <t>Canada</t>
  </si>
  <si>
    <t>Tablet</t>
  </si>
  <si>
    <t>Direct</t>
  </si>
  <si>
    <t>timestamp</t>
  </si>
  <si>
    <t>Step</t>
  </si>
  <si>
    <t>Users</t>
  </si>
  <si>
    <t>Step Conversion Rate</t>
  </si>
  <si>
    <t>Drop Rate</t>
  </si>
  <si>
    <t>Home Page</t>
  </si>
  <si>
    <t>Search Page</t>
  </si>
  <si>
    <t>Confirmation Page</t>
  </si>
  <si>
    <t>Payment Page</t>
  </si>
  <si>
    <t>Overall Conv</t>
  </si>
  <si>
    <t>Gender</t>
  </si>
  <si>
    <t>Device</t>
  </si>
  <si>
    <t>Traffic Source</t>
  </si>
  <si>
    <t>Row Labels</t>
  </si>
  <si>
    <t>Grand Total</t>
  </si>
  <si>
    <t>Count of user_id</t>
  </si>
  <si>
    <t>Column Labels</t>
  </si>
  <si>
    <t>Reached Search</t>
  </si>
  <si>
    <t>Home</t>
  </si>
  <si>
    <t>Search</t>
  </si>
  <si>
    <t>Payment</t>
  </si>
  <si>
    <t>Confirmation</t>
  </si>
  <si>
    <t>The biggest drop-off is Home → Search (45% lost)</t>
  </si>
  <si>
    <t>Only 550 out of 1000 visitors even bothered to search/browse products</t>
  </si>
  <si>
    <r>
      <t xml:space="preserve">This suggests your </t>
    </r>
    <r>
      <rPr>
        <b/>
        <sz val="11"/>
        <color theme="1"/>
        <rFont val="Aptos Narrow"/>
        <family val="2"/>
        <scheme val="minor"/>
      </rPr>
      <t>landing page isn't engaging enough</t>
    </r>
    <r>
      <rPr>
        <sz val="11"/>
        <color theme="1"/>
        <rFont val="Aptos Narrow"/>
        <family val="2"/>
        <scheme val="minor"/>
      </rPr>
      <t xml:space="preserve"> — weak CTAs, slow load time, or wrong audience being targeted</t>
    </r>
  </si>
  <si>
    <t>Payment → Confirmation is also 45% drop-off</t>
  </si>
  <si>
    <t>99 people started payment but didn't complete it</t>
  </si>
  <si>
    <r>
      <t xml:space="preserve">Classic </t>
    </r>
    <r>
      <rPr>
        <b/>
        <sz val="11"/>
        <color theme="1"/>
        <rFont val="Aptos Narrow"/>
        <family val="2"/>
        <scheme val="minor"/>
      </rPr>
      <t>cart abandonment</t>
    </r>
    <r>
      <rPr>
        <sz val="11"/>
        <color theme="1"/>
        <rFont val="Aptos Narrow"/>
        <family val="2"/>
        <scheme val="minor"/>
      </rPr>
      <t xml:space="preserve"> — likely caused by unexpected costs (shipping/taxes), too many form fields, or lack of trust signals (no SSL badge, no reviews)</t>
    </r>
  </si>
  <si>
    <t>Overall only 12% of visitors convert</t>
  </si>
  <si>
    <t>For every 100 visitors, only 12 actually buy — this is fairly typical for e-commerce (industry average is 2–4%), so 12% is actually decent here</t>
  </si>
  <si>
    <t>Home → Confirmation Conv.</t>
  </si>
  <si>
    <r>
      <t xml:space="preserve">63/525 = </t>
    </r>
    <r>
      <rPr>
        <b/>
        <sz val="11"/>
        <color theme="1"/>
        <rFont val="Aptos Narrow"/>
        <family val="2"/>
        <scheme val="minor"/>
      </rPr>
      <t>12%</t>
    </r>
  </si>
  <si>
    <r>
      <t xml:space="preserve">58/475 = </t>
    </r>
    <r>
      <rPr>
        <b/>
        <sz val="11"/>
        <color theme="1"/>
        <rFont val="Aptos Narrow"/>
        <family val="2"/>
        <scheme val="minor"/>
      </rPr>
      <t>12.2%</t>
    </r>
  </si>
  <si>
    <r>
      <t xml:space="preserve">Gender makes </t>
    </r>
    <r>
      <rPr>
        <b/>
        <sz val="11"/>
        <color theme="1"/>
        <rFont val="Aptos Narrow"/>
        <family val="2"/>
        <scheme val="minor"/>
      </rPr>
      <t>virtually no difference</t>
    </r>
    <r>
      <rPr>
        <sz val="11"/>
        <color theme="1"/>
        <rFont val="Aptos Narrow"/>
        <family val="2"/>
        <scheme val="minor"/>
      </rPr>
      <t xml:space="preserve"> in conversion</t>
    </r>
  </si>
  <si>
    <t>No need to change messaging or targeting based on gender</t>
  </si>
  <si>
    <r>
      <t xml:space="preserve">63/499 = </t>
    </r>
    <r>
      <rPr>
        <b/>
        <sz val="11"/>
        <color theme="1"/>
        <rFont val="Aptos Narrow"/>
        <family val="2"/>
        <scheme val="minor"/>
      </rPr>
      <t>12.6%</t>
    </r>
  </si>
  <si>
    <r>
      <t xml:space="preserve">42/362 = </t>
    </r>
    <r>
      <rPr>
        <b/>
        <sz val="11"/>
        <color theme="1"/>
        <rFont val="Aptos Narrow"/>
        <family val="2"/>
        <scheme val="minor"/>
      </rPr>
      <t>11.6%</t>
    </r>
  </si>
  <si>
    <r>
      <t xml:space="preserve">16/139 = </t>
    </r>
    <r>
      <rPr>
        <b/>
        <sz val="11"/>
        <color theme="1"/>
        <rFont val="Aptos Narrow"/>
        <family val="2"/>
        <scheme val="minor"/>
      </rPr>
      <t>11.5%</t>
    </r>
  </si>
  <si>
    <t>Desktop converts slightly better but the gap is small</t>
  </si>
  <si>
    <r>
      <t xml:space="preserve">Mobile and Tablet are close behind — your site is </t>
    </r>
    <r>
      <rPr>
        <b/>
        <sz val="11"/>
        <color theme="1"/>
        <rFont val="Aptos Narrow"/>
        <family val="2"/>
        <scheme val="minor"/>
      </rPr>
      <t>reasonably mobile-friendly</t>
    </r>
  </si>
  <si>
    <r>
      <t xml:space="preserve">However, check the </t>
    </r>
    <r>
      <rPr>
        <b/>
        <sz val="11"/>
        <color theme="1"/>
        <rFont val="Aptos Narrow"/>
        <family val="2"/>
        <scheme val="minor"/>
      </rPr>
      <t>Payment → Confirmation</t>
    </r>
    <r>
      <rPr>
        <sz val="11"/>
        <color theme="1"/>
        <rFont val="Aptos Narrow"/>
        <family val="2"/>
        <scheme val="minor"/>
      </rPr>
      <t xml:space="preserve"> drop on mobile specifically — mobile users often abandon at payment due to difficult form-filling</t>
    </r>
  </si>
  <si>
    <t>Source</t>
  </si>
  <si>
    <r>
      <t xml:space="preserve">43/303 = </t>
    </r>
    <r>
      <rPr>
        <b/>
        <sz val="11"/>
        <color theme="1"/>
        <rFont val="Aptos Narrow"/>
        <family val="2"/>
        <scheme val="minor"/>
      </rPr>
      <t>14.2%</t>
    </r>
    <r>
      <rPr>
        <sz val="11"/>
        <color theme="1"/>
        <rFont val="Aptos Narrow"/>
        <family val="2"/>
        <scheme val="minor"/>
      </rPr>
      <t xml:space="preserve"> ⭐</t>
    </r>
  </si>
  <si>
    <r>
      <t xml:space="preserve">32/218 = </t>
    </r>
    <r>
      <rPr>
        <b/>
        <sz val="11"/>
        <color theme="1"/>
        <rFont val="Aptos Narrow"/>
        <family val="2"/>
        <scheme val="minor"/>
      </rPr>
      <t>14.7%</t>
    </r>
    <r>
      <rPr>
        <sz val="11"/>
        <color theme="1"/>
        <rFont val="Aptos Narrow"/>
        <family val="2"/>
        <scheme val="minor"/>
      </rPr>
      <t xml:space="preserve"> ⭐</t>
    </r>
  </si>
  <si>
    <r>
      <t xml:space="preserve">22/244 = </t>
    </r>
    <r>
      <rPr>
        <b/>
        <sz val="11"/>
        <color theme="1"/>
        <rFont val="Aptos Narrow"/>
        <family val="2"/>
        <scheme val="minor"/>
      </rPr>
      <t>9.0%</t>
    </r>
    <r>
      <rPr>
        <sz val="11"/>
        <color theme="1"/>
        <rFont val="Aptos Narrow"/>
        <family val="2"/>
        <scheme val="minor"/>
      </rPr>
      <t xml:space="preserve"> ⚠️</t>
    </r>
  </si>
  <si>
    <r>
      <t xml:space="preserve">16/144 = </t>
    </r>
    <r>
      <rPr>
        <b/>
        <sz val="11"/>
        <color theme="1"/>
        <rFont val="Aptos Narrow"/>
        <family val="2"/>
        <scheme val="minor"/>
      </rPr>
      <t>11.1%</t>
    </r>
  </si>
  <si>
    <r>
      <t xml:space="preserve">8/91 = </t>
    </r>
    <r>
      <rPr>
        <b/>
        <sz val="11"/>
        <color theme="1"/>
        <rFont val="Aptos Narrow"/>
        <family val="2"/>
        <scheme val="minor"/>
      </rPr>
      <t>8.8%</t>
    </r>
    <r>
      <rPr>
        <sz val="11"/>
        <color theme="1"/>
        <rFont val="Aptos Narrow"/>
        <family val="2"/>
        <scheme val="minor"/>
      </rPr>
      <t xml:space="preserve"> ⚠️</t>
    </r>
  </si>
  <si>
    <t>This is your most valuable insight:</t>
  </si>
  <si>
    <r>
      <t>Social and Organic traffic convert the best</t>
    </r>
    <r>
      <rPr>
        <sz val="11"/>
        <color theme="1"/>
        <rFont val="Aptos Narrow"/>
        <family val="2"/>
        <scheme val="minor"/>
      </rPr>
      <t xml:space="preserve"> — these users have higher intent and trust</t>
    </r>
  </si>
  <si>
    <r>
      <t>Paid traffic converts the worst at 9%</t>
    </r>
    <r>
      <rPr>
        <sz val="11"/>
        <color theme="1"/>
        <rFont val="Aptos Narrow"/>
        <family val="2"/>
        <scheme val="minor"/>
      </rPr>
      <t xml:space="preserve"> — you're spending money on ads but getting lower quality visitors. Either the ad targeting is off, or the landing page doesn't match the ad promise</t>
    </r>
  </si>
  <si>
    <r>
      <t>Email is mid-range</t>
    </r>
    <r>
      <rPr>
        <sz val="11"/>
        <color theme="1"/>
        <rFont val="Aptos Narrow"/>
        <family val="2"/>
        <scheme val="minor"/>
      </rPr>
      <t xml:space="preserve"> — room to improve with better email segmentation</t>
    </r>
  </si>
  <si>
    <t>🎯 Top 3 Recommendations Based on Your Data</t>
  </si>
  <si>
    <r>
      <t>1. Fix the Home → Search drop-off first</t>
    </r>
    <r>
      <rPr>
        <sz val="11"/>
        <color theme="1"/>
        <rFont val="Aptos Narrow"/>
        <family val="2"/>
        <scheme val="minor"/>
      </rPr>
      <t xml:space="preserve"> This is where you lose the most people (450 users). Improve your homepage with clearer product categories, better search bar visibility, and stronger CTAs.</t>
    </r>
  </si>
  <si>
    <r>
      <t>2. Fix cart abandonment at Payment</t>
    </r>
    <r>
      <rPr>
        <sz val="11"/>
        <color theme="1"/>
        <rFont val="Aptos Narrow"/>
        <family val="2"/>
        <scheme val="minor"/>
      </rPr>
      <t xml:space="preserve"> 99 people dropped at the last step. Add trust badges, simplify the form, show a progress bar, and consider a one-click checkout option.</t>
    </r>
  </si>
  <si>
    <r>
      <t>3. Reallocate paid ad budget toward Social</t>
    </r>
    <r>
      <rPr>
        <sz val="11"/>
        <color theme="1"/>
        <rFont val="Aptos Narrow"/>
        <family val="2"/>
        <scheme val="minor"/>
      </rPr>
      <t xml:space="preserve"> Paid traffic is underperforming vs. Social. Either improve your ad creatives/targeting or shift budget toward social campaigns which are converting at 14.7%.</t>
    </r>
  </si>
  <si>
    <t xml:space="preserve">From the Funnel Summary </t>
  </si>
  <si>
    <t xml:space="preserve">👥 From the Gender Breakdown </t>
  </si>
  <si>
    <t xml:space="preserve">💻 From the Device Breakdown </t>
  </si>
  <si>
    <t xml:space="preserve">🚦 From the Traffic Source Breakdown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</si>
</sst>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/>
    <xf numFmtId="22" fontId="0" fillId="0" borderId="0" xfId="0" applyNumberFormat="1"/>
    <xf numFmtId="0" fontId="2" fillId="0" borderId="0" xfId="0" applyFont="1"/>
    <xf numFmtId="9" fontId="0" fillId="0" borderId="0" xfId="0" applyNumberFormat="1"/>
    <xf numFmtId="9" fontId="0" fillId="0" borderId="0" xfId="1" applyFont="1"/>
    <xf numFmtId="9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1" xfId="0" applyNumberFormat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Font="1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Funnel Visual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Funnel Visual</a:t>
          </a:r>
        </a:p>
      </cx:txPr>
    </cx:title>
    <cx:plotArea>
      <cx:plotAreaRegion>
        <cx:series layoutId="funnel" uniqueId="{C9A7F8E6-32BB-48E9-AF3D-40E3ACBDA54C}">
          <cx:tx>
            <cx:txData>
              <cx:f>_xlchart.v2.4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98425</xdr:colOff>
      <xdr:row>6</xdr:row>
      <xdr:rowOff>174625</xdr:rowOff>
    </xdr:from>
    <xdr:to>
      <xdr:col>5</xdr:col>
      <xdr:colOff>66675</xdr:colOff>
      <xdr:row>21</xdr:row>
      <xdr:rowOff>155575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6C98B7-1D3D-3F05-735E-0D4158B23D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25" y="1279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HALA" refreshedDate="46089.917096064812" createdVersion="8" refreshedVersion="8" minRefreshableVersion="3" recordCount="1000" xr:uid="{657D74DE-B3AF-4ADA-B6C3-58D4EFCDC031}">
  <cacheSource type="worksheet">
    <worksheetSource name="home_page"/>
  </cacheSource>
  <cacheFields count="5">
    <cacheField name="user_id" numFmtId="0">
      <sharedItems containsSemiMixedTypes="0" containsString="0" containsNumber="1" containsInteger="1" minValue="1001" maxValue="2000"/>
    </cacheField>
    <cacheField name="timestamp" numFmtId="22">
      <sharedItems containsSemiMixedTypes="0" containsNonDate="0" containsDate="1" containsString="0" minDate="2024-01-01T00:19:00" maxDate="2024-03-30T23:43:00"/>
    </cacheField>
    <cacheField name="Gender" numFmtId="0">
      <sharedItems count="2">
        <s v="Male"/>
        <s v="Female"/>
      </sharedItems>
    </cacheField>
    <cacheField name="Device" numFmtId="0">
      <sharedItems count="3">
        <s v="Desktop"/>
        <s v="Mobile"/>
        <s v="Tablet"/>
      </sharedItems>
    </cacheField>
    <cacheField name="Traffic Source" numFmtId="0">
      <sharedItems count="5">
        <s v="Organic"/>
        <s v="Social"/>
        <s v="Paid"/>
        <s v="Email"/>
        <s v="Dire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HALA" refreshedDate="46089.919390509262" createdVersion="8" refreshedVersion="8" minRefreshableVersion="3" recordCount="550" xr:uid="{A0C1E699-CA09-4D06-97D1-E4D80B52C816}">
  <cacheSource type="worksheet">
    <worksheetSource name="search_page"/>
  </cacheSource>
  <cacheFields count="5">
    <cacheField name="user_id" numFmtId="0">
      <sharedItems containsSemiMixedTypes="0" containsString="0" containsNumber="1" containsInteger="1" minValue="1001" maxValue="2000"/>
    </cacheField>
    <cacheField name="timestamp" numFmtId="22">
      <sharedItems containsSemiMixedTypes="0" containsNonDate="0" containsDate="1" containsString="0" minDate="2024-01-02T00:42:00" maxDate="2024-03-31T23:03:00"/>
    </cacheField>
    <cacheField name="Gender" numFmtId="0">
      <sharedItems count="2">
        <s v="Male"/>
        <s v="Female"/>
      </sharedItems>
    </cacheField>
    <cacheField name="Device" numFmtId="0">
      <sharedItems count="3">
        <s v="Desktop"/>
        <s v="Mobile"/>
        <s v="Tablet"/>
      </sharedItems>
    </cacheField>
    <cacheField name="Traffic Source" numFmtId="0">
      <sharedItems count="5">
        <s v="Social"/>
        <s v="Email"/>
        <s v="Paid"/>
        <s v="Direct"/>
        <s v="Organ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HALA" refreshedDate="46089.926335879631" createdVersion="8" refreshedVersion="8" minRefreshableVersion="3" recordCount="220" xr:uid="{C77204FC-CB30-4E64-82F1-8D1C50B996D8}">
  <cacheSource type="worksheet">
    <worksheetSource name="payment_page"/>
  </cacheSource>
  <cacheFields count="5">
    <cacheField name="user_id" numFmtId="0">
      <sharedItems containsSemiMixedTypes="0" containsString="0" containsNumber="1" containsInteger="1" minValue="1001" maxValue="2000"/>
    </cacheField>
    <cacheField name="timestamp" numFmtId="22">
      <sharedItems containsSemiMixedTypes="0" containsNonDate="0" containsDate="1" containsString="0" minDate="2024-01-03T10:15:00" maxDate="2024-04-01T23:49:00"/>
    </cacheField>
    <cacheField name="Gender" numFmtId="0">
      <sharedItems count="2">
        <s v="Female"/>
        <s v="Male"/>
      </sharedItems>
    </cacheField>
    <cacheField name="Device" numFmtId="0">
      <sharedItems count="3">
        <s v="Desktop"/>
        <s v="Tablet"/>
        <s v="Mobile"/>
      </sharedItems>
    </cacheField>
    <cacheField name="Traffic Source" numFmtId="0">
      <sharedItems count="5">
        <s v="Organic"/>
        <s v="Social"/>
        <s v="Email"/>
        <s v="Paid"/>
        <s v="Dire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HALA" refreshedDate="46089.927917361114" createdVersion="8" refreshedVersion="8" minRefreshableVersion="3" recordCount="121" xr:uid="{0F8DCA3E-C994-4A8E-9C7E-2D623F65B69F}">
  <cacheSource type="worksheet">
    <worksheetSource name="confirmation_page"/>
  </cacheSource>
  <cacheFields count="5">
    <cacheField name="user_id" numFmtId="0">
      <sharedItems containsSemiMixedTypes="0" containsString="0" containsNumber="1" containsInteger="1" minValue="1009" maxValue="2000"/>
    </cacheField>
    <cacheField name="timestamp" numFmtId="22">
      <sharedItems containsSemiMixedTypes="0" containsNonDate="0" containsDate="1" containsString="0" minDate="2024-01-04T05:05:00" maxDate="2024-04-02T21:45:00"/>
    </cacheField>
    <cacheField name="Gender" numFmtId="0">
      <sharedItems count="2">
        <s v="Male"/>
        <s v="Female"/>
      </sharedItems>
    </cacheField>
    <cacheField name="Device" numFmtId="0">
      <sharedItems count="3">
        <s v="Desktop"/>
        <s v="Mobile"/>
        <s v="Tablet"/>
      </sharedItems>
    </cacheField>
    <cacheField name="Traffic Source" numFmtId="0">
      <sharedItems count="5">
        <s v="Paid"/>
        <s v="Organic"/>
        <s v="Email"/>
        <s v="Social"/>
        <s v="Dire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d v="2024-02-21T22:15:00"/>
    <x v="0"/>
    <x v="0"/>
    <x v="0"/>
  </r>
  <r>
    <n v="1002"/>
    <d v="2024-02-09T21:37:00"/>
    <x v="1"/>
    <x v="1"/>
    <x v="0"/>
  </r>
  <r>
    <n v="1003"/>
    <d v="2024-02-17T15:35:00"/>
    <x v="1"/>
    <x v="1"/>
    <x v="1"/>
  </r>
  <r>
    <n v="1004"/>
    <d v="2024-03-08T11:27:00"/>
    <x v="1"/>
    <x v="0"/>
    <x v="2"/>
  </r>
  <r>
    <n v="1005"/>
    <d v="2024-03-11T10:22:00"/>
    <x v="0"/>
    <x v="0"/>
    <x v="3"/>
  </r>
  <r>
    <n v="1006"/>
    <d v="2024-03-30T14:17:00"/>
    <x v="0"/>
    <x v="1"/>
    <x v="0"/>
  </r>
  <r>
    <n v="1007"/>
    <d v="2024-02-09T08:14:00"/>
    <x v="0"/>
    <x v="1"/>
    <x v="0"/>
  </r>
  <r>
    <n v="1008"/>
    <d v="2024-01-16T23:12:00"/>
    <x v="1"/>
    <x v="0"/>
    <x v="2"/>
  </r>
  <r>
    <n v="1009"/>
    <d v="2024-02-10T03:47:00"/>
    <x v="1"/>
    <x v="1"/>
    <x v="0"/>
  </r>
  <r>
    <n v="1010"/>
    <d v="2024-03-09T22:11:00"/>
    <x v="1"/>
    <x v="0"/>
    <x v="0"/>
  </r>
  <r>
    <n v="1011"/>
    <d v="2024-01-25T06:47:00"/>
    <x v="0"/>
    <x v="1"/>
    <x v="1"/>
  </r>
  <r>
    <n v="1012"/>
    <d v="2024-03-02T08:46:00"/>
    <x v="1"/>
    <x v="0"/>
    <x v="0"/>
  </r>
  <r>
    <n v="1013"/>
    <d v="2024-03-16T16:38:00"/>
    <x v="1"/>
    <x v="2"/>
    <x v="1"/>
  </r>
  <r>
    <n v="1014"/>
    <d v="2024-02-06T03:53:00"/>
    <x v="0"/>
    <x v="0"/>
    <x v="0"/>
  </r>
  <r>
    <n v="1015"/>
    <d v="2024-01-25T09:14:00"/>
    <x v="0"/>
    <x v="0"/>
    <x v="0"/>
  </r>
  <r>
    <n v="1016"/>
    <d v="2024-02-16T05:19:00"/>
    <x v="0"/>
    <x v="0"/>
    <x v="2"/>
  </r>
  <r>
    <n v="1017"/>
    <d v="2024-01-02T22:34:00"/>
    <x v="0"/>
    <x v="0"/>
    <x v="3"/>
  </r>
  <r>
    <n v="1018"/>
    <d v="2024-01-17T08:02:00"/>
    <x v="1"/>
    <x v="1"/>
    <x v="2"/>
  </r>
  <r>
    <n v="1019"/>
    <d v="2024-01-07T17:18:00"/>
    <x v="0"/>
    <x v="0"/>
    <x v="3"/>
  </r>
  <r>
    <n v="1020"/>
    <d v="2024-03-30T04:40:00"/>
    <x v="0"/>
    <x v="1"/>
    <x v="0"/>
  </r>
  <r>
    <n v="1021"/>
    <d v="2024-03-03T03:55:00"/>
    <x v="1"/>
    <x v="0"/>
    <x v="3"/>
  </r>
  <r>
    <n v="1022"/>
    <d v="2024-01-02T18:18:00"/>
    <x v="0"/>
    <x v="0"/>
    <x v="0"/>
  </r>
  <r>
    <n v="1023"/>
    <d v="2024-03-01T15:28:00"/>
    <x v="0"/>
    <x v="0"/>
    <x v="1"/>
  </r>
  <r>
    <n v="1024"/>
    <d v="2024-02-13T05:03:00"/>
    <x v="0"/>
    <x v="0"/>
    <x v="1"/>
  </r>
  <r>
    <n v="1025"/>
    <d v="2024-02-02T15:07:00"/>
    <x v="0"/>
    <x v="0"/>
    <x v="4"/>
  </r>
  <r>
    <n v="1026"/>
    <d v="2024-01-09T12:31:00"/>
    <x v="1"/>
    <x v="0"/>
    <x v="2"/>
  </r>
  <r>
    <n v="1027"/>
    <d v="2024-01-10T18:40:00"/>
    <x v="0"/>
    <x v="0"/>
    <x v="0"/>
  </r>
  <r>
    <n v="1028"/>
    <d v="2024-03-28T01:09:00"/>
    <x v="0"/>
    <x v="0"/>
    <x v="0"/>
  </r>
  <r>
    <n v="1029"/>
    <d v="2024-01-20T18:19:00"/>
    <x v="1"/>
    <x v="1"/>
    <x v="3"/>
  </r>
  <r>
    <n v="1030"/>
    <d v="2024-01-11T07:07:00"/>
    <x v="0"/>
    <x v="1"/>
    <x v="2"/>
  </r>
  <r>
    <n v="1031"/>
    <d v="2024-03-12T13:38:00"/>
    <x v="1"/>
    <x v="0"/>
    <x v="3"/>
  </r>
  <r>
    <n v="1032"/>
    <d v="2024-03-17T19:14:00"/>
    <x v="0"/>
    <x v="0"/>
    <x v="0"/>
  </r>
  <r>
    <n v="1033"/>
    <d v="2024-03-07T12:28:00"/>
    <x v="0"/>
    <x v="2"/>
    <x v="2"/>
  </r>
  <r>
    <n v="1034"/>
    <d v="2024-02-26T09:55:00"/>
    <x v="1"/>
    <x v="1"/>
    <x v="0"/>
  </r>
  <r>
    <n v="1035"/>
    <d v="2024-03-16T13:19:00"/>
    <x v="1"/>
    <x v="1"/>
    <x v="4"/>
  </r>
  <r>
    <n v="1036"/>
    <d v="2024-03-13T19:03:00"/>
    <x v="1"/>
    <x v="0"/>
    <x v="1"/>
  </r>
  <r>
    <n v="1037"/>
    <d v="2024-03-19T23:06:00"/>
    <x v="0"/>
    <x v="1"/>
    <x v="4"/>
  </r>
  <r>
    <n v="1038"/>
    <d v="2024-01-27T20:13:00"/>
    <x v="0"/>
    <x v="1"/>
    <x v="0"/>
  </r>
  <r>
    <n v="1039"/>
    <d v="2024-02-03T21:05:00"/>
    <x v="1"/>
    <x v="1"/>
    <x v="1"/>
  </r>
  <r>
    <n v="1040"/>
    <d v="2024-01-21T07:11:00"/>
    <x v="0"/>
    <x v="2"/>
    <x v="1"/>
  </r>
  <r>
    <n v="1041"/>
    <d v="2024-03-11T02:10:00"/>
    <x v="0"/>
    <x v="0"/>
    <x v="2"/>
  </r>
  <r>
    <n v="1042"/>
    <d v="2024-01-01T13:28:00"/>
    <x v="0"/>
    <x v="0"/>
    <x v="3"/>
  </r>
  <r>
    <n v="1043"/>
    <d v="2024-03-29T19:30:00"/>
    <x v="0"/>
    <x v="1"/>
    <x v="4"/>
  </r>
  <r>
    <n v="1044"/>
    <d v="2024-02-07T01:14:00"/>
    <x v="1"/>
    <x v="1"/>
    <x v="3"/>
  </r>
  <r>
    <n v="1045"/>
    <d v="2024-02-06T22:18:00"/>
    <x v="0"/>
    <x v="0"/>
    <x v="1"/>
  </r>
  <r>
    <n v="1046"/>
    <d v="2024-03-30T14:04:00"/>
    <x v="1"/>
    <x v="0"/>
    <x v="0"/>
  </r>
  <r>
    <n v="1047"/>
    <d v="2024-03-28T07:59:00"/>
    <x v="0"/>
    <x v="0"/>
    <x v="0"/>
  </r>
  <r>
    <n v="1048"/>
    <d v="2024-02-03T20:37:00"/>
    <x v="1"/>
    <x v="0"/>
    <x v="4"/>
  </r>
  <r>
    <n v="1049"/>
    <d v="2024-03-25T06:27:00"/>
    <x v="1"/>
    <x v="1"/>
    <x v="0"/>
  </r>
  <r>
    <n v="1050"/>
    <d v="2024-01-15T17:14:00"/>
    <x v="0"/>
    <x v="1"/>
    <x v="1"/>
  </r>
  <r>
    <n v="1051"/>
    <d v="2024-03-23T04:58:00"/>
    <x v="1"/>
    <x v="0"/>
    <x v="1"/>
  </r>
  <r>
    <n v="1052"/>
    <d v="2024-02-04T04:04:00"/>
    <x v="1"/>
    <x v="0"/>
    <x v="1"/>
  </r>
  <r>
    <n v="1053"/>
    <d v="2024-01-08T05:50:00"/>
    <x v="1"/>
    <x v="0"/>
    <x v="4"/>
  </r>
  <r>
    <n v="1054"/>
    <d v="2024-02-09T19:47:00"/>
    <x v="1"/>
    <x v="0"/>
    <x v="2"/>
  </r>
  <r>
    <n v="1055"/>
    <d v="2024-03-13T09:28:00"/>
    <x v="1"/>
    <x v="1"/>
    <x v="2"/>
  </r>
  <r>
    <n v="1056"/>
    <d v="2024-01-16T14:44:00"/>
    <x v="1"/>
    <x v="2"/>
    <x v="0"/>
  </r>
  <r>
    <n v="1057"/>
    <d v="2024-02-08T22:25:00"/>
    <x v="0"/>
    <x v="1"/>
    <x v="2"/>
  </r>
  <r>
    <n v="1058"/>
    <d v="2024-02-04T16:34:00"/>
    <x v="0"/>
    <x v="0"/>
    <x v="0"/>
  </r>
  <r>
    <n v="1059"/>
    <d v="2024-03-04T14:05:00"/>
    <x v="0"/>
    <x v="2"/>
    <x v="2"/>
  </r>
  <r>
    <n v="1060"/>
    <d v="2024-03-17T01:56:00"/>
    <x v="0"/>
    <x v="1"/>
    <x v="3"/>
  </r>
  <r>
    <n v="1061"/>
    <d v="2024-02-25T23:20:00"/>
    <x v="0"/>
    <x v="1"/>
    <x v="4"/>
  </r>
  <r>
    <n v="1062"/>
    <d v="2024-03-18T08:01:00"/>
    <x v="0"/>
    <x v="0"/>
    <x v="0"/>
  </r>
  <r>
    <n v="1063"/>
    <d v="2024-01-12T07:43:00"/>
    <x v="1"/>
    <x v="0"/>
    <x v="2"/>
  </r>
  <r>
    <n v="1064"/>
    <d v="2024-03-14T18:01:00"/>
    <x v="0"/>
    <x v="0"/>
    <x v="4"/>
  </r>
  <r>
    <n v="1065"/>
    <d v="2024-03-27T08:36:00"/>
    <x v="0"/>
    <x v="0"/>
    <x v="0"/>
  </r>
  <r>
    <n v="1066"/>
    <d v="2024-01-06T05:30:00"/>
    <x v="1"/>
    <x v="0"/>
    <x v="0"/>
  </r>
  <r>
    <n v="1067"/>
    <d v="2024-03-07T20:28:00"/>
    <x v="0"/>
    <x v="0"/>
    <x v="0"/>
  </r>
  <r>
    <n v="1068"/>
    <d v="2024-02-05T05:37:00"/>
    <x v="1"/>
    <x v="0"/>
    <x v="1"/>
  </r>
  <r>
    <n v="1069"/>
    <d v="2024-02-25T20:52:00"/>
    <x v="0"/>
    <x v="1"/>
    <x v="0"/>
  </r>
  <r>
    <n v="1070"/>
    <d v="2024-03-03T02:30:00"/>
    <x v="1"/>
    <x v="0"/>
    <x v="4"/>
  </r>
  <r>
    <n v="1071"/>
    <d v="2024-02-14T13:21:00"/>
    <x v="1"/>
    <x v="0"/>
    <x v="2"/>
  </r>
  <r>
    <n v="1072"/>
    <d v="2024-02-11T21:06:00"/>
    <x v="0"/>
    <x v="2"/>
    <x v="2"/>
  </r>
  <r>
    <n v="1073"/>
    <d v="2024-01-21T10:26:00"/>
    <x v="0"/>
    <x v="2"/>
    <x v="0"/>
  </r>
  <r>
    <n v="1074"/>
    <d v="2024-03-29T15:18:00"/>
    <x v="1"/>
    <x v="1"/>
    <x v="2"/>
  </r>
  <r>
    <n v="1075"/>
    <d v="2024-03-25T12:52:00"/>
    <x v="1"/>
    <x v="2"/>
    <x v="1"/>
  </r>
  <r>
    <n v="1076"/>
    <d v="2024-03-11T01:29:00"/>
    <x v="1"/>
    <x v="1"/>
    <x v="3"/>
  </r>
  <r>
    <n v="1077"/>
    <d v="2024-01-12T10:16:00"/>
    <x v="1"/>
    <x v="2"/>
    <x v="3"/>
  </r>
  <r>
    <n v="1078"/>
    <d v="2024-02-11T03:49:00"/>
    <x v="0"/>
    <x v="0"/>
    <x v="1"/>
  </r>
  <r>
    <n v="1079"/>
    <d v="2024-02-21T16:52:00"/>
    <x v="0"/>
    <x v="0"/>
    <x v="4"/>
  </r>
  <r>
    <n v="1080"/>
    <d v="2024-01-01T21:55:00"/>
    <x v="0"/>
    <x v="0"/>
    <x v="3"/>
  </r>
  <r>
    <n v="1081"/>
    <d v="2024-03-10T14:26:00"/>
    <x v="1"/>
    <x v="0"/>
    <x v="3"/>
  </r>
  <r>
    <n v="1082"/>
    <d v="2024-01-07T06:33:00"/>
    <x v="1"/>
    <x v="0"/>
    <x v="0"/>
  </r>
  <r>
    <n v="1083"/>
    <d v="2024-02-16T19:48:00"/>
    <x v="0"/>
    <x v="1"/>
    <x v="0"/>
  </r>
  <r>
    <n v="1084"/>
    <d v="2024-03-04T20:28:00"/>
    <x v="0"/>
    <x v="1"/>
    <x v="0"/>
  </r>
  <r>
    <n v="1085"/>
    <d v="2024-01-07T06:17:00"/>
    <x v="0"/>
    <x v="1"/>
    <x v="1"/>
  </r>
  <r>
    <n v="1086"/>
    <d v="2024-03-11T04:59:00"/>
    <x v="0"/>
    <x v="0"/>
    <x v="2"/>
  </r>
  <r>
    <n v="1087"/>
    <d v="2024-02-06T14:56:00"/>
    <x v="1"/>
    <x v="1"/>
    <x v="2"/>
  </r>
  <r>
    <n v="1088"/>
    <d v="2024-03-30T15:07:00"/>
    <x v="1"/>
    <x v="1"/>
    <x v="3"/>
  </r>
  <r>
    <n v="1089"/>
    <d v="2024-01-04T20:38:00"/>
    <x v="1"/>
    <x v="0"/>
    <x v="3"/>
  </r>
  <r>
    <n v="1090"/>
    <d v="2024-01-31T22:10:00"/>
    <x v="0"/>
    <x v="1"/>
    <x v="4"/>
  </r>
  <r>
    <n v="1091"/>
    <d v="2024-02-09T17:00:00"/>
    <x v="0"/>
    <x v="0"/>
    <x v="2"/>
  </r>
  <r>
    <n v="1092"/>
    <d v="2024-03-11T13:05:00"/>
    <x v="1"/>
    <x v="0"/>
    <x v="1"/>
  </r>
  <r>
    <n v="1093"/>
    <d v="2024-01-29T03:29:00"/>
    <x v="1"/>
    <x v="2"/>
    <x v="0"/>
  </r>
  <r>
    <n v="1094"/>
    <d v="2024-01-16T20:53:00"/>
    <x v="1"/>
    <x v="0"/>
    <x v="0"/>
  </r>
  <r>
    <n v="1095"/>
    <d v="2024-01-20T15:59:00"/>
    <x v="1"/>
    <x v="0"/>
    <x v="0"/>
  </r>
  <r>
    <n v="1096"/>
    <d v="2024-02-07T16:45:00"/>
    <x v="0"/>
    <x v="2"/>
    <x v="2"/>
  </r>
  <r>
    <n v="1097"/>
    <d v="2024-02-04T13:53:00"/>
    <x v="1"/>
    <x v="1"/>
    <x v="2"/>
  </r>
  <r>
    <n v="1098"/>
    <d v="2024-03-02T15:15:00"/>
    <x v="0"/>
    <x v="0"/>
    <x v="3"/>
  </r>
  <r>
    <n v="1099"/>
    <d v="2024-02-28T17:09:00"/>
    <x v="0"/>
    <x v="0"/>
    <x v="0"/>
  </r>
  <r>
    <n v="1100"/>
    <d v="2024-02-19T06:58:00"/>
    <x v="0"/>
    <x v="0"/>
    <x v="1"/>
  </r>
  <r>
    <n v="1101"/>
    <d v="2024-03-17T16:47:00"/>
    <x v="0"/>
    <x v="1"/>
    <x v="2"/>
  </r>
  <r>
    <n v="1102"/>
    <d v="2024-01-18T02:17:00"/>
    <x v="1"/>
    <x v="0"/>
    <x v="0"/>
  </r>
  <r>
    <n v="1103"/>
    <d v="2024-02-23T10:59:00"/>
    <x v="0"/>
    <x v="0"/>
    <x v="2"/>
  </r>
  <r>
    <n v="1104"/>
    <d v="2024-03-05T08:52:00"/>
    <x v="0"/>
    <x v="2"/>
    <x v="0"/>
  </r>
  <r>
    <n v="1105"/>
    <d v="2024-01-01T09:46:00"/>
    <x v="1"/>
    <x v="1"/>
    <x v="1"/>
  </r>
  <r>
    <n v="1106"/>
    <d v="2024-02-08T18:37:00"/>
    <x v="0"/>
    <x v="0"/>
    <x v="2"/>
  </r>
  <r>
    <n v="1107"/>
    <d v="2024-03-25T15:55:00"/>
    <x v="0"/>
    <x v="1"/>
    <x v="0"/>
  </r>
  <r>
    <n v="1108"/>
    <d v="2024-01-20T14:34:00"/>
    <x v="1"/>
    <x v="1"/>
    <x v="0"/>
  </r>
  <r>
    <n v="1109"/>
    <d v="2024-03-02T11:21:00"/>
    <x v="0"/>
    <x v="0"/>
    <x v="2"/>
  </r>
  <r>
    <n v="1110"/>
    <d v="2024-03-11T17:24:00"/>
    <x v="0"/>
    <x v="0"/>
    <x v="4"/>
  </r>
  <r>
    <n v="1111"/>
    <d v="2024-02-28T10:55:00"/>
    <x v="0"/>
    <x v="1"/>
    <x v="2"/>
  </r>
  <r>
    <n v="1112"/>
    <d v="2024-01-25T22:15:00"/>
    <x v="0"/>
    <x v="0"/>
    <x v="1"/>
  </r>
  <r>
    <n v="1113"/>
    <d v="2024-03-14T12:14:00"/>
    <x v="1"/>
    <x v="1"/>
    <x v="1"/>
  </r>
  <r>
    <n v="1114"/>
    <d v="2024-02-22T01:20:00"/>
    <x v="1"/>
    <x v="0"/>
    <x v="4"/>
  </r>
  <r>
    <n v="1115"/>
    <d v="2024-03-01T22:58:00"/>
    <x v="1"/>
    <x v="0"/>
    <x v="3"/>
  </r>
  <r>
    <n v="1116"/>
    <d v="2024-02-18T12:42:00"/>
    <x v="1"/>
    <x v="0"/>
    <x v="1"/>
  </r>
  <r>
    <n v="1117"/>
    <d v="2024-03-24T04:31:00"/>
    <x v="1"/>
    <x v="0"/>
    <x v="1"/>
  </r>
  <r>
    <n v="1118"/>
    <d v="2024-01-05T04:32:00"/>
    <x v="0"/>
    <x v="0"/>
    <x v="3"/>
  </r>
  <r>
    <n v="1119"/>
    <d v="2024-03-16T10:55:00"/>
    <x v="1"/>
    <x v="0"/>
    <x v="2"/>
  </r>
  <r>
    <n v="1120"/>
    <d v="2024-01-13T14:06:00"/>
    <x v="1"/>
    <x v="1"/>
    <x v="2"/>
  </r>
  <r>
    <n v="1121"/>
    <d v="2024-03-08T14:00:00"/>
    <x v="1"/>
    <x v="2"/>
    <x v="0"/>
  </r>
  <r>
    <n v="1122"/>
    <d v="2024-01-19T13:55:00"/>
    <x v="1"/>
    <x v="1"/>
    <x v="3"/>
  </r>
  <r>
    <n v="1123"/>
    <d v="2024-03-24T04:04:00"/>
    <x v="0"/>
    <x v="2"/>
    <x v="3"/>
  </r>
  <r>
    <n v="1124"/>
    <d v="2024-03-01T08:21:00"/>
    <x v="0"/>
    <x v="0"/>
    <x v="0"/>
  </r>
  <r>
    <n v="1125"/>
    <d v="2024-03-20T22:25:00"/>
    <x v="0"/>
    <x v="2"/>
    <x v="1"/>
  </r>
  <r>
    <n v="1126"/>
    <d v="2024-03-24T02:54:00"/>
    <x v="0"/>
    <x v="0"/>
    <x v="2"/>
  </r>
  <r>
    <n v="1127"/>
    <d v="2024-02-12T21:54:00"/>
    <x v="1"/>
    <x v="2"/>
    <x v="0"/>
  </r>
  <r>
    <n v="1128"/>
    <d v="2024-03-09T12:20:00"/>
    <x v="1"/>
    <x v="2"/>
    <x v="4"/>
  </r>
  <r>
    <n v="1129"/>
    <d v="2024-03-21T22:56:00"/>
    <x v="0"/>
    <x v="1"/>
    <x v="0"/>
  </r>
  <r>
    <n v="1130"/>
    <d v="2024-03-03T17:02:00"/>
    <x v="0"/>
    <x v="2"/>
    <x v="0"/>
  </r>
  <r>
    <n v="1131"/>
    <d v="2024-03-20T02:15:00"/>
    <x v="0"/>
    <x v="1"/>
    <x v="1"/>
  </r>
  <r>
    <n v="1132"/>
    <d v="2024-03-21T21:58:00"/>
    <x v="0"/>
    <x v="0"/>
    <x v="1"/>
  </r>
  <r>
    <n v="1133"/>
    <d v="2024-02-06T07:47:00"/>
    <x v="0"/>
    <x v="0"/>
    <x v="0"/>
  </r>
  <r>
    <n v="1134"/>
    <d v="2024-01-12T13:06:00"/>
    <x v="0"/>
    <x v="1"/>
    <x v="1"/>
  </r>
  <r>
    <n v="1135"/>
    <d v="2024-03-22T22:55:00"/>
    <x v="1"/>
    <x v="0"/>
    <x v="2"/>
  </r>
  <r>
    <n v="1136"/>
    <d v="2024-01-13T14:10:00"/>
    <x v="0"/>
    <x v="1"/>
    <x v="0"/>
  </r>
  <r>
    <n v="1137"/>
    <d v="2024-03-29T09:57:00"/>
    <x v="0"/>
    <x v="2"/>
    <x v="0"/>
  </r>
  <r>
    <n v="1138"/>
    <d v="2024-01-04T01:20:00"/>
    <x v="1"/>
    <x v="0"/>
    <x v="1"/>
  </r>
  <r>
    <n v="1139"/>
    <d v="2024-01-08T09:22:00"/>
    <x v="0"/>
    <x v="1"/>
    <x v="0"/>
  </r>
  <r>
    <n v="1140"/>
    <d v="2024-02-17T13:09:00"/>
    <x v="1"/>
    <x v="2"/>
    <x v="4"/>
  </r>
  <r>
    <n v="1141"/>
    <d v="2024-02-01T16:26:00"/>
    <x v="1"/>
    <x v="2"/>
    <x v="3"/>
  </r>
  <r>
    <n v="1142"/>
    <d v="2024-03-13T21:50:00"/>
    <x v="0"/>
    <x v="2"/>
    <x v="4"/>
  </r>
  <r>
    <n v="1143"/>
    <d v="2024-01-24T05:11:00"/>
    <x v="0"/>
    <x v="1"/>
    <x v="0"/>
  </r>
  <r>
    <n v="1144"/>
    <d v="2024-01-11T19:55:00"/>
    <x v="0"/>
    <x v="2"/>
    <x v="4"/>
  </r>
  <r>
    <n v="1145"/>
    <d v="2024-02-18T19:43:00"/>
    <x v="0"/>
    <x v="1"/>
    <x v="2"/>
  </r>
  <r>
    <n v="1146"/>
    <d v="2024-01-31T15:58:00"/>
    <x v="0"/>
    <x v="0"/>
    <x v="2"/>
  </r>
  <r>
    <n v="1147"/>
    <d v="2024-03-15T04:14:00"/>
    <x v="1"/>
    <x v="0"/>
    <x v="0"/>
  </r>
  <r>
    <n v="1148"/>
    <d v="2024-02-29T20:16:00"/>
    <x v="0"/>
    <x v="1"/>
    <x v="0"/>
  </r>
  <r>
    <n v="1149"/>
    <d v="2024-02-28T08:42:00"/>
    <x v="0"/>
    <x v="0"/>
    <x v="1"/>
  </r>
  <r>
    <n v="1150"/>
    <d v="2024-01-02T14:57:00"/>
    <x v="0"/>
    <x v="1"/>
    <x v="2"/>
  </r>
  <r>
    <n v="1151"/>
    <d v="2024-02-06T21:34:00"/>
    <x v="1"/>
    <x v="1"/>
    <x v="0"/>
  </r>
  <r>
    <n v="1152"/>
    <d v="2024-01-21T02:28:00"/>
    <x v="0"/>
    <x v="0"/>
    <x v="1"/>
  </r>
  <r>
    <n v="1153"/>
    <d v="2024-02-14T18:19:00"/>
    <x v="0"/>
    <x v="1"/>
    <x v="0"/>
  </r>
  <r>
    <n v="1154"/>
    <d v="2024-03-22T13:44:00"/>
    <x v="0"/>
    <x v="1"/>
    <x v="1"/>
  </r>
  <r>
    <n v="1155"/>
    <d v="2024-02-02T14:54:00"/>
    <x v="1"/>
    <x v="0"/>
    <x v="2"/>
  </r>
  <r>
    <n v="1156"/>
    <d v="2024-02-08T06:24:00"/>
    <x v="0"/>
    <x v="0"/>
    <x v="3"/>
  </r>
  <r>
    <n v="1157"/>
    <d v="2024-03-02T03:15:00"/>
    <x v="1"/>
    <x v="0"/>
    <x v="3"/>
  </r>
  <r>
    <n v="1158"/>
    <d v="2024-02-18T18:22:00"/>
    <x v="1"/>
    <x v="0"/>
    <x v="2"/>
  </r>
  <r>
    <n v="1159"/>
    <d v="2024-03-14T09:44:00"/>
    <x v="0"/>
    <x v="2"/>
    <x v="2"/>
  </r>
  <r>
    <n v="1160"/>
    <d v="2024-02-07T00:53:00"/>
    <x v="1"/>
    <x v="0"/>
    <x v="2"/>
  </r>
  <r>
    <n v="1161"/>
    <d v="2024-03-25T12:17:00"/>
    <x v="0"/>
    <x v="1"/>
    <x v="3"/>
  </r>
  <r>
    <n v="1162"/>
    <d v="2024-01-02T18:55:00"/>
    <x v="1"/>
    <x v="0"/>
    <x v="2"/>
  </r>
  <r>
    <n v="1163"/>
    <d v="2024-03-28T23:03:00"/>
    <x v="1"/>
    <x v="0"/>
    <x v="0"/>
  </r>
  <r>
    <n v="1164"/>
    <d v="2024-03-18T23:31:00"/>
    <x v="1"/>
    <x v="1"/>
    <x v="0"/>
  </r>
  <r>
    <n v="1165"/>
    <d v="2024-02-06T07:38:00"/>
    <x v="0"/>
    <x v="1"/>
    <x v="2"/>
  </r>
  <r>
    <n v="1166"/>
    <d v="2024-02-15T07:40:00"/>
    <x v="1"/>
    <x v="0"/>
    <x v="2"/>
  </r>
  <r>
    <n v="1167"/>
    <d v="2024-01-25T19:16:00"/>
    <x v="0"/>
    <x v="0"/>
    <x v="3"/>
  </r>
  <r>
    <n v="1168"/>
    <d v="2024-03-27T23:49:00"/>
    <x v="0"/>
    <x v="0"/>
    <x v="0"/>
  </r>
  <r>
    <n v="1169"/>
    <d v="2024-03-25T21:53:00"/>
    <x v="0"/>
    <x v="0"/>
    <x v="2"/>
  </r>
  <r>
    <n v="1170"/>
    <d v="2024-01-18T20:06:00"/>
    <x v="1"/>
    <x v="1"/>
    <x v="3"/>
  </r>
  <r>
    <n v="1171"/>
    <d v="2024-03-21T20:02:00"/>
    <x v="1"/>
    <x v="0"/>
    <x v="3"/>
  </r>
  <r>
    <n v="1172"/>
    <d v="2024-02-09T14:02:00"/>
    <x v="0"/>
    <x v="0"/>
    <x v="2"/>
  </r>
  <r>
    <n v="1173"/>
    <d v="2024-03-15T11:46:00"/>
    <x v="0"/>
    <x v="0"/>
    <x v="2"/>
  </r>
  <r>
    <n v="1174"/>
    <d v="2024-01-17T02:58:00"/>
    <x v="0"/>
    <x v="2"/>
    <x v="2"/>
  </r>
  <r>
    <n v="1175"/>
    <d v="2024-02-07T10:47:00"/>
    <x v="1"/>
    <x v="2"/>
    <x v="4"/>
  </r>
  <r>
    <n v="1176"/>
    <d v="2024-02-23T05:12:00"/>
    <x v="0"/>
    <x v="0"/>
    <x v="0"/>
  </r>
  <r>
    <n v="1177"/>
    <d v="2024-01-17T17:56:00"/>
    <x v="1"/>
    <x v="1"/>
    <x v="4"/>
  </r>
  <r>
    <n v="1178"/>
    <d v="2024-02-16T16:32:00"/>
    <x v="0"/>
    <x v="0"/>
    <x v="1"/>
  </r>
  <r>
    <n v="1179"/>
    <d v="2024-02-04T05:16:00"/>
    <x v="1"/>
    <x v="0"/>
    <x v="2"/>
  </r>
  <r>
    <n v="1180"/>
    <d v="2024-03-02T09:47:00"/>
    <x v="0"/>
    <x v="1"/>
    <x v="0"/>
  </r>
  <r>
    <n v="1181"/>
    <d v="2024-02-13T03:29:00"/>
    <x v="0"/>
    <x v="2"/>
    <x v="2"/>
  </r>
  <r>
    <n v="1182"/>
    <d v="2024-01-10T04:48:00"/>
    <x v="0"/>
    <x v="2"/>
    <x v="2"/>
  </r>
  <r>
    <n v="1183"/>
    <d v="2024-01-29T21:46:00"/>
    <x v="1"/>
    <x v="1"/>
    <x v="0"/>
  </r>
  <r>
    <n v="1184"/>
    <d v="2024-03-27T12:54:00"/>
    <x v="1"/>
    <x v="0"/>
    <x v="1"/>
  </r>
  <r>
    <n v="1185"/>
    <d v="2024-03-12T11:05:00"/>
    <x v="0"/>
    <x v="1"/>
    <x v="4"/>
  </r>
  <r>
    <n v="1186"/>
    <d v="2024-02-20T00:16:00"/>
    <x v="1"/>
    <x v="0"/>
    <x v="1"/>
  </r>
  <r>
    <n v="1187"/>
    <d v="2024-03-09T03:29:00"/>
    <x v="1"/>
    <x v="1"/>
    <x v="1"/>
  </r>
  <r>
    <n v="1188"/>
    <d v="2024-02-17T21:47:00"/>
    <x v="1"/>
    <x v="0"/>
    <x v="0"/>
  </r>
  <r>
    <n v="1189"/>
    <d v="2024-03-27T08:37:00"/>
    <x v="1"/>
    <x v="1"/>
    <x v="2"/>
  </r>
  <r>
    <n v="1190"/>
    <d v="2024-02-18T20:23:00"/>
    <x v="0"/>
    <x v="0"/>
    <x v="0"/>
  </r>
  <r>
    <n v="1191"/>
    <d v="2024-01-14T21:14:00"/>
    <x v="0"/>
    <x v="0"/>
    <x v="1"/>
  </r>
  <r>
    <n v="1192"/>
    <d v="2024-03-01T00:39:00"/>
    <x v="1"/>
    <x v="2"/>
    <x v="4"/>
  </r>
  <r>
    <n v="1193"/>
    <d v="2024-03-12T10:58:00"/>
    <x v="1"/>
    <x v="0"/>
    <x v="1"/>
  </r>
  <r>
    <n v="1194"/>
    <d v="2024-03-19T07:41:00"/>
    <x v="1"/>
    <x v="1"/>
    <x v="0"/>
  </r>
  <r>
    <n v="1195"/>
    <d v="2024-01-09T20:52:00"/>
    <x v="0"/>
    <x v="0"/>
    <x v="2"/>
  </r>
  <r>
    <n v="1196"/>
    <d v="2024-02-29T22:19:00"/>
    <x v="0"/>
    <x v="0"/>
    <x v="1"/>
  </r>
  <r>
    <n v="1197"/>
    <d v="2024-03-24T13:07:00"/>
    <x v="1"/>
    <x v="0"/>
    <x v="2"/>
  </r>
  <r>
    <n v="1198"/>
    <d v="2024-01-18T01:02:00"/>
    <x v="1"/>
    <x v="0"/>
    <x v="3"/>
  </r>
  <r>
    <n v="1199"/>
    <d v="2024-02-08T15:07:00"/>
    <x v="1"/>
    <x v="2"/>
    <x v="3"/>
  </r>
  <r>
    <n v="1200"/>
    <d v="2024-01-13T07:56:00"/>
    <x v="1"/>
    <x v="0"/>
    <x v="1"/>
  </r>
  <r>
    <n v="1201"/>
    <d v="2024-03-09T04:24:00"/>
    <x v="1"/>
    <x v="2"/>
    <x v="2"/>
  </r>
  <r>
    <n v="1202"/>
    <d v="2024-02-28T11:42:00"/>
    <x v="0"/>
    <x v="1"/>
    <x v="0"/>
  </r>
  <r>
    <n v="1203"/>
    <d v="2024-03-30T17:26:00"/>
    <x v="0"/>
    <x v="0"/>
    <x v="0"/>
  </r>
  <r>
    <n v="1204"/>
    <d v="2024-03-16T23:46:00"/>
    <x v="1"/>
    <x v="1"/>
    <x v="2"/>
  </r>
  <r>
    <n v="1205"/>
    <d v="2024-01-20T13:41:00"/>
    <x v="1"/>
    <x v="1"/>
    <x v="2"/>
  </r>
  <r>
    <n v="1206"/>
    <d v="2024-01-13T15:39:00"/>
    <x v="0"/>
    <x v="1"/>
    <x v="1"/>
  </r>
  <r>
    <n v="1207"/>
    <d v="2024-02-22T08:02:00"/>
    <x v="0"/>
    <x v="0"/>
    <x v="1"/>
  </r>
  <r>
    <n v="1208"/>
    <d v="2024-03-29T11:13:00"/>
    <x v="1"/>
    <x v="0"/>
    <x v="0"/>
  </r>
  <r>
    <n v="1209"/>
    <d v="2024-02-26T14:15:00"/>
    <x v="0"/>
    <x v="2"/>
    <x v="2"/>
  </r>
  <r>
    <n v="1210"/>
    <d v="2024-02-16T03:43:00"/>
    <x v="0"/>
    <x v="2"/>
    <x v="0"/>
  </r>
  <r>
    <n v="1211"/>
    <d v="2024-02-17T17:57:00"/>
    <x v="1"/>
    <x v="2"/>
    <x v="0"/>
  </r>
  <r>
    <n v="1212"/>
    <d v="2024-03-23T11:03:00"/>
    <x v="1"/>
    <x v="0"/>
    <x v="3"/>
  </r>
  <r>
    <n v="1213"/>
    <d v="2024-02-20T08:12:00"/>
    <x v="1"/>
    <x v="1"/>
    <x v="0"/>
  </r>
  <r>
    <n v="1214"/>
    <d v="2024-01-16T14:05:00"/>
    <x v="0"/>
    <x v="0"/>
    <x v="2"/>
  </r>
  <r>
    <n v="1215"/>
    <d v="2024-03-25T06:41:00"/>
    <x v="1"/>
    <x v="0"/>
    <x v="0"/>
  </r>
  <r>
    <n v="1216"/>
    <d v="2024-03-22T19:01:00"/>
    <x v="0"/>
    <x v="0"/>
    <x v="3"/>
  </r>
  <r>
    <n v="1217"/>
    <d v="2024-01-07T10:15:00"/>
    <x v="0"/>
    <x v="1"/>
    <x v="1"/>
  </r>
  <r>
    <n v="1218"/>
    <d v="2024-01-17T18:13:00"/>
    <x v="1"/>
    <x v="0"/>
    <x v="0"/>
  </r>
  <r>
    <n v="1219"/>
    <d v="2024-01-09T17:13:00"/>
    <x v="1"/>
    <x v="0"/>
    <x v="2"/>
  </r>
  <r>
    <n v="1220"/>
    <d v="2024-03-16T06:52:00"/>
    <x v="1"/>
    <x v="2"/>
    <x v="1"/>
  </r>
  <r>
    <n v="1221"/>
    <d v="2024-01-30T10:49:00"/>
    <x v="1"/>
    <x v="0"/>
    <x v="4"/>
  </r>
  <r>
    <n v="1222"/>
    <d v="2024-01-19T19:00:00"/>
    <x v="1"/>
    <x v="0"/>
    <x v="0"/>
  </r>
  <r>
    <n v="1223"/>
    <d v="2024-02-05T04:08:00"/>
    <x v="0"/>
    <x v="0"/>
    <x v="3"/>
  </r>
  <r>
    <n v="1224"/>
    <d v="2024-03-10T08:51:00"/>
    <x v="0"/>
    <x v="2"/>
    <x v="4"/>
  </r>
  <r>
    <n v="1225"/>
    <d v="2024-01-23T03:42:00"/>
    <x v="0"/>
    <x v="1"/>
    <x v="4"/>
  </r>
  <r>
    <n v="1226"/>
    <d v="2024-01-04T04:00:00"/>
    <x v="0"/>
    <x v="0"/>
    <x v="1"/>
  </r>
  <r>
    <n v="1227"/>
    <d v="2024-02-15T07:37:00"/>
    <x v="1"/>
    <x v="1"/>
    <x v="1"/>
  </r>
  <r>
    <n v="1228"/>
    <d v="2024-02-11T00:11:00"/>
    <x v="0"/>
    <x v="1"/>
    <x v="2"/>
  </r>
  <r>
    <n v="1229"/>
    <d v="2024-02-03T01:08:00"/>
    <x v="1"/>
    <x v="0"/>
    <x v="3"/>
  </r>
  <r>
    <n v="1230"/>
    <d v="2024-02-23T16:07:00"/>
    <x v="1"/>
    <x v="1"/>
    <x v="2"/>
  </r>
  <r>
    <n v="1231"/>
    <d v="2024-01-09T15:28:00"/>
    <x v="1"/>
    <x v="1"/>
    <x v="1"/>
  </r>
  <r>
    <n v="1232"/>
    <d v="2024-02-16T16:37:00"/>
    <x v="0"/>
    <x v="1"/>
    <x v="2"/>
  </r>
  <r>
    <n v="1233"/>
    <d v="2024-01-14T14:32:00"/>
    <x v="1"/>
    <x v="0"/>
    <x v="1"/>
  </r>
  <r>
    <n v="1234"/>
    <d v="2024-01-29T19:02:00"/>
    <x v="0"/>
    <x v="2"/>
    <x v="3"/>
  </r>
  <r>
    <n v="1235"/>
    <d v="2024-03-25T16:19:00"/>
    <x v="0"/>
    <x v="1"/>
    <x v="0"/>
  </r>
  <r>
    <n v="1236"/>
    <d v="2024-02-28T20:01:00"/>
    <x v="1"/>
    <x v="0"/>
    <x v="3"/>
  </r>
  <r>
    <n v="1237"/>
    <d v="2024-01-08T15:54:00"/>
    <x v="0"/>
    <x v="0"/>
    <x v="2"/>
  </r>
  <r>
    <n v="1238"/>
    <d v="2024-02-21T13:43:00"/>
    <x v="0"/>
    <x v="0"/>
    <x v="3"/>
  </r>
  <r>
    <n v="1239"/>
    <d v="2024-01-14T15:45:00"/>
    <x v="1"/>
    <x v="0"/>
    <x v="2"/>
  </r>
  <r>
    <n v="1240"/>
    <d v="2024-02-26T02:57:00"/>
    <x v="0"/>
    <x v="1"/>
    <x v="2"/>
  </r>
  <r>
    <n v="1241"/>
    <d v="2024-01-11T10:38:00"/>
    <x v="1"/>
    <x v="0"/>
    <x v="4"/>
  </r>
  <r>
    <n v="1242"/>
    <d v="2024-01-19T02:08:00"/>
    <x v="1"/>
    <x v="0"/>
    <x v="0"/>
  </r>
  <r>
    <n v="1243"/>
    <d v="2024-02-05T19:40:00"/>
    <x v="1"/>
    <x v="1"/>
    <x v="3"/>
  </r>
  <r>
    <n v="1244"/>
    <d v="2024-03-15T17:45:00"/>
    <x v="0"/>
    <x v="0"/>
    <x v="2"/>
  </r>
  <r>
    <n v="1245"/>
    <d v="2024-02-11T12:38:00"/>
    <x v="0"/>
    <x v="2"/>
    <x v="2"/>
  </r>
  <r>
    <n v="1246"/>
    <d v="2024-03-08T09:29:00"/>
    <x v="1"/>
    <x v="0"/>
    <x v="2"/>
  </r>
  <r>
    <n v="1247"/>
    <d v="2024-03-05T19:27:00"/>
    <x v="0"/>
    <x v="0"/>
    <x v="1"/>
  </r>
  <r>
    <n v="1248"/>
    <d v="2024-01-13T22:07:00"/>
    <x v="1"/>
    <x v="0"/>
    <x v="2"/>
  </r>
  <r>
    <n v="1249"/>
    <d v="2024-03-24T20:56:00"/>
    <x v="1"/>
    <x v="0"/>
    <x v="0"/>
  </r>
  <r>
    <n v="1250"/>
    <d v="2024-03-11T23:55:00"/>
    <x v="1"/>
    <x v="0"/>
    <x v="0"/>
  </r>
  <r>
    <n v="1251"/>
    <d v="2024-01-28T13:28:00"/>
    <x v="0"/>
    <x v="1"/>
    <x v="0"/>
  </r>
  <r>
    <n v="1252"/>
    <d v="2024-01-30T13:21:00"/>
    <x v="0"/>
    <x v="2"/>
    <x v="4"/>
  </r>
  <r>
    <n v="1253"/>
    <d v="2024-02-28T12:26:00"/>
    <x v="1"/>
    <x v="0"/>
    <x v="4"/>
  </r>
  <r>
    <n v="1254"/>
    <d v="2024-01-13T10:27:00"/>
    <x v="0"/>
    <x v="1"/>
    <x v="2"/>
  </r>
  <r>
    <n v="1255"/>
    <d v="2024-02-10T21:16:00"/>
    <x v="0"/>
    <x v="1"/>
    <x v="1"/>
  </r>
  <r>
    <n v="1256"/>
    <d v="2024-02-17T04:43:00"/>
    <x v="1"/>
    <x v="1"/>
    <x v="2"/>
  </r>
  <r>
    <n v="1257"/>
    <d v="2024-03-01T02:05:00"/>
    <x v="1"/>
    <x v="0"/>
    <x v="1"/>
  </r>
  <r>
    <n v="1258"/>
    <d v="2024-01-11T02:27:00"/>
    <x v="1"/>
    <x v="0"/>
    <x v="3"/>
  </r>
  <r>
    <n v="1259"/>
    <d v="2024-01-13T23:47:00"/>
    <x v="1"/>
    <x v="0"/>
    <x v="4"/>
  </r>
  <r>
    <n v="1260"/>
    <d v="2024-02-17T04:35:00"/>
    <x v="0"/>
    <x v="1"/>
    <x v="2"/>
  </r>
  <r>
    <n v="1261"/>
    <d v="2024-01-08T18:35:00"/>
    <x v="1"/>
    <x v="1"/>
    <x v="3"/>
  </r>
  <r>
    <n v="1262"/>
    <d v="2024-03-12T10:42:00"/>
    <x v="1"/>
    <x v="0"/>
    <x v="0"/>
  </r>
  <r>
    <n v="1263"/>
    <d v="2024-01-16T13:22:00"/>
    <x v="0"/>
    <x v="0"/>
    <x v="4"/>
  </r>
  <r>
    <n v="1264"/>
    <d v="2024-03-26T13:55:00"/>
    <x v="0"/>
    <x v="2"/>
    <x v="0"/>
  </r>
  <r>
    <n v="1265"/>
    <d v="2024-01-07T09:38:00"/>
    <x v="1"/>
    <x v="1"/>
    <x v="1"/>
  </r>
  <r>
    <n v="1266"/>
    <d v="2024-02-09T11:06:00"/>
    <x v="1"/>
    <x v="2"/>
    <x v="1"/>
  </r>
  <r>
    <n v="1267"/>
    <d v="2024-03-14T16:13:00"/>
    <x v="1"/>
    <x v="1"/>
    <x v="1"/>
  </r>
  <r>
    <n v="1268"/>
    <d v="2024-01-20T21:30:00"/>
    <x v="1"/>
    <x v="0"/>
    <x v="0"/>
  </r>
  <r>
    <n v="1269"/>
    <d v="2024-01-29T03:22:00"/>
    <x v="0"/>
    <x v="1"/>
    <x v="4"/>
  </r>
  <r>
    <n v="1270"/>
    <d v="2024-03-12T11:07:00"/>
    <x v="0"/>
    <x v="1"/>
    <x v="0"/>
  </r>
  <r>
    <n v="1271"/>
    <d v="2024-02-05T18:14:00"/>
    <x v="1"/>
    <x v="0"/>
    <x v="1"/>
  </r>
  <r>
    <n v="1272"/>
    <d v="2024-02-24T17:49:00"/>
    <x v="1"/>
    <x v="1"/>
    <x v="0"/>
  </r>
  <r>
    <n v="1273"/>
    <d v="2024-03-20T19:43:00"/>
    <x v="1"/>
    <x v="1"/>
    <x v="2"/>
  </r>
  <r>
    <n v="1274"/>
    <d v="2024-03-23T17:01:00"/>
    <x v="1"/>
    <x v="0"/>
    <x v="2"/>
  </r>
  <r>
    <n v="1275"/>
    <d v="2024-03-18T21:53:00"/>
    <x v="0"/>
    <x v="1"/>
    <x v="2"/>
  </r>
  <r>
    <n v="1276"/>
    <d v="2024-03-29T08:01:00"/>
    <x v="0"/>
    <x v="1"/>
    <x v="0"/>
  </r>
  <r>
    <n v="1277"/>
    <d v="2024-01-24T08:44:00"/>
    <x v="1"/>
    <x v="2"/>
    <x v="0"/>
  </r>
  <r>
    <n v="1278"/>
    <d v="2024-02-09T10:22:00"/>
    <x v="1"/>
    <x v="0"/>
    <x v="2"/>
  </r>
  <r>
    <n v="1279"/>
    <d v="2024-01-01T05:55:00"/>
    <x v="1"/>
    <x v="0"/>
    <x v="3"/>
  </r>
  <r>
    <n v="1280"/>
    <d v="2024-01-19T18:42:00"/>
    <x v="1"/>
    <x v="1"/>
    <x v="3"/>
  </r>
  <r>
    <n v="1281"/>
    <d v="2024-02-21T02:09:00"/>
    <x v="1"/>
    <x v="0"/>
    <x v="0"/>
  </r>
  <r>
    <n v="1282"/>
    <d v="2024-03-22T00:05:00"/>
    <x v="0"/>
    <x v="1"/>
    <x v="2"/>
  </r>
  <r>
    <n v="1283"/>
    <d v="2024-03-08T06:24:00"/>
    <x v="0"/>
    <x v="1"/>
    <x v="0"/>
  </r>
  <r>
    <n v="1284"/>
    <d v="2024-02-23T14:21:00"/>
    <x v="0"/>
    <x v="0"/>
    <x v="0"/>
  </r>
  <r>
    <n v="1285"/>
    <d v="2024-01-21T11:19:00"/>
    <x v="1"/>
    <x v="1"/>
    <x v="1"/>
  </r>
  <r>
    <n v="1286"/>
    <d v="2024-02-11T18:38:00"/>
    <x v="0"/>
    <x v="1"/>
    <x v="1"/>
  </r>
  <r>
    <n v="1287"/>
    <d v="2024-01-11T01:09:00"/>
    <x v="0"/>
    <x v="0"/>
    <x v="0"/>
  </r>
  <r>
    <n v="1288"/>
    <d v="2024-01-21T19:03:00"/>
    <x v="1"/>
    <x v="2"/>
    <x v="0"/>
  </r>
  <r>
    <n v="1289"/>
    <d v="2024-03-27T02:17:00"/>
    <x v="0"/>
    <x v="1"/>
    <x v="0"/>
  </r>
  <r>
    <n v="1290"/>
    <d v="2024-02-26T21:27:00"/>
    <x v="1"/>
    <x v="1"/>
    <x v="3"/>
  </r>
  <r>
    <n v="1291"/>
    <d v="2024-03-03T19:28:00"/>
    <x v="0"/>
    <x v="1"/>
    <x v="4"/>
  </r>
  <r>
    <n v="1292"/>
    <d v="2024-02-23T08:13:00"/>
    <x v="0"/>
    <x v="0"/>
    <x v="0"/>
  </r>
  <r>
    <n v="1293"/>
    <d v="2024-03-06T03:22:00"/>
    <x v="1"/>
    <x v="2"/>
    <x v="0"/>
  </r>
  <r>
    <n v="1294"/>
    <d v="2024-02-25T03:18:00"/>
    <x v="0"/>
    <x v="1"/>
    <x v="3"/>
  </r>
  <r>
    <n v="1295"/>
    <d v="2024-03-27T21:37:00"/>
    <x v="0"/>
    <x v="1"/>
    <x v="4"/>
  </r>
  <r>
    <n v="1296"/>
    <d v="2024-03-03T16:42:00"/>
    <x v="1"/>
    <x v="2"/>
    <x v="2"/>
  </r>
  <r>
    <n v="1297"/>
    <d v="2024-02-09T01:14:00"/>
    <x v="1"/>
    <x v="0"/>
    <x v="0"/>
  </r>
  <r>
    <n v="1298"/>
    <d v="2024-02-20T19:03:00"/>
    <x v="0"/>
    <x v="1"/>
    <x v="0"/>
  </r>
  <r>
    <n v="1299"/>
    <d v="2024-01-01T06:19:00"/>
    <x v="1"/>
    <x v="0"/>
    <x v="1"/>
  </r>
  <r>
    <n v="1300"/>
    <d v="2024-01-28T04:48:00"/>
    <x v="0"/>
    <x v="0"/>
    <x v="2"/>
  </r>
  <r>
    <n v="1301"/>
    <d v="2024-02-02T09:20:00"/>
    <x v="0"/>
    <x v="0"/>
    <x v="0"/>
  </r>
  <r>
    <n v="1302"/>
    <d v="2024-01-16T00:31:00"/>
    <x v="1"/>
    <x v="2"/>
    <x v="1"/>
  </r>
  <r>
    <n v="1303"/>
    <d v="2024-02-25T05:08:00"/>
    <x v="1"/>
    <x v="2"/>
    <x v="0"/>
  </r>
  <r>
    <n v="1304"/>
    <d v="2024-02-18T17:45:00"/>
    <x v="1"/>
    <x v="1"/>
    <x v="3"/>
  </r>
  <r>
    <n v="1305"/>
    <d v="2024-01-30T16:35:00"/>
    <x v="1"/>
    <x v="1"/>
    <x v="2"/>
  </r>
  <r>
    <n v="1306"/>
    <d v="2024-03-26T11:04:00"/>
    <x v="1"/>
    <x v="1"/>
    <x v="0"/>
  </r>
  <r>
    <n v="1307"/>
    <d v="2024-02-20T23:02:00"/>
    <x v="0"/>
    <x v="2"/>
    <x v="1"/>
  </r>
  <r>
    <n v="1308"/>
    <d v="2024-02-25T00:29:00"/>
    <x v="0"/>
    <x v="0"/>
    <x v="2"/>
  </r>
  <r>
    <n v="1309"/>
    <d v="2024-01-10T10:36:00"/>
    <x v="1"/>
    <x v="0"/>
    <x v="4"/>
  </r>
  <r>
    <n v="1310"/>
    <d v="2024-02-24T18:25:00"/>
    <x v="0"/>
    <x v="0"/>
    <x v="2"/>
  </r>
  <r>
    <n v="1311"/>
    <d v="2024-03-22T13:18:00"/>
    <x v="0"/>
    <x v="1"/>
    <x v="0"/>
  </r>
  <r>
    <n v="1312"/>
    <d v="2024-01-15T12:01:00"/>
    <x v="0"/>
    <x v="1"/>
    <x v="1"/>
  </r>
  <r>
    <n v="1313"/>
    <d v="2024-02-11T05:51:00"/>
    <x v="0"/>
    <x v="0"/>
    <x v="0"/>
  </r>
  <r>
    <n v="1314"/>
    <d v="2024-03-20T14:53:00"/>
    <x v="1"/>
    <x v="0"/>
    <x v="4"/>
  </r>
  <r>
    <n v="1315"/>
    <d v="2024-03-29T11:05:00"/>
    <x v="1"/>
    <x v="1"/>
    <x v="2"/>
  </r>
  <r>
    <n v="1316"/>
    <d v="2024-02-25T03:15:00"/>
    <x v="1"/>
    <x v="0"/>
    <x v="2"/>
  </r>
  <r>
    <n v="1317"/>
    <d v="2024-02-25T18:25:00"/>
    <x v="0"/>
    <x v="1"/>
    <x v="0"/>
  </r>
  <r>
    <n v="1318"/>
    <d v="2024-03-08T02:25:00"/>
    <x v="0"/>
    <x v="2"/>
    <x v="2"/>
  </r>
  <r>
    <n v="1319"/>
    <d v="2024-02-09T23:21:00"/>
    <x v="0"/>
    <x v="0"/>
    <x v="3"/>
  </r>
  <r>
    <n v="1320"/>
    <d v="2024-01-29T10:49:00"/>
    <x v="0"/>
    <x v="0"/>
    <x v="3"/>
  </r>
  <r>
    <n v="1321"/>
    <d v="2024-01-22T02:32:00"/>
    <x v="1"/>
    <x v="1"/>
    <x v="0"/>
  </r>
  <r>
    <n v="1322"/>
    <d v="2024-03-22T03:33:00"/>
    <x v="1"/>
    <x v="1"/>
    <x v="0"/>
  </r>
  <r>
    <n v="1323"/>
    <d v="2024-03-06T06:57:00"/>
    <x v="1"/>
    <x v="1"/>
    <x v="3"/>
  </r>
  <r>
    <n v="1324"/>
    <d v="2024-02-14T11:46:00"/>
    <x v="0"/>
    <x v="2"/>
    <x v="4"/>
  </r>
  <r>
    <n v="1325"/>
    <d v="2024-03-23T04:15:00"/>
    <x v="1"/>
    <x v="0"/>
    <x v="0"/>
  </r>
  <r>
    <n v="1326"/>
    <d v="2024-01-14T04:16:00"/>
    <x v="1"/>
    <x v="1"/>
    <x v="2"/>
  </r>
  <r>
    <n v="1327"/>
    <d v="2024-01-26T05:38:00"/>
    <x v="1"/>
    <x v="1"/>
    <x v="2"/>
  </r>
  <r>
    <n v="1328"/>
    <d v="2024-01-20T20:04:00"/>
    <x v="1"/>
    <x v="2"/>
    <x v="3"/>
  </r>
  <r>
    <n v="1329"/>
    <d v="2024-01-23T20:31:00"/>
    <x v="0"/>
    <x v="0"/>
    <x v="0"/>
  </r>
  <r>
    <n v="1330"/>
    <d v="2024-02-29T18:48:00"/>
    <x v="0"/>
    <x v="1"/>
    <x v="0"/>
  </r>
  <r>
    <n v="1331"/>
    <d v="2024-03-15T14:43:00"/>
    <x v="0"/>
    <x v="1"/>
    <x v="3"/>
  </r>
  <r>
    <n v="1332"/>
    <d v="2024-03-13T20:40:00"/>
    <x v="1"/>
    <x v="0"/>
    <x v="0"/>
  </r>
  <r>
    <n v="1333"/>
    <d v="2024-03-20T10:55:00"/>
    <x v="0"/>
    <x v="0"/>
    <x v="2"/>
  </r>
  <r>
    <n v="1334"/>
    <d v="2024-03-21T10:09:00"/>
    <x v="0"/>
    <x v="2"/>
    <x v="2"/>
  </r>
  <r>
    <n v="1335"/>
    <d v="2024-02-26T02:30:00"/>
    <x v="0"/>
    <x v="0"/>
    <x v="2"/>
  </r>
  <r>
    <n v="1336"/>
    <d v="2024-02-26T20:19:00"/>
    <x v="0"/>
    <x v="0"/>
    <x v="2"/>
  </r>
  <r>
    <n v="1337"/>
    <d v="2024-02-05T18:03:00"/>
    <x v="1"/>
    <x v="0"/>
    <x v="2"/>
  </r>
  <r>
    <n v="1338"/>
    <d v="2024-02-15T16:04:00"/>
    <x v="1"/>
    <x v="2"/>
    <x v="0"/>
  </r>
  <r>
    <n v="1339"/>
    <d v="2024-02-09T14:28:00"/>
    <x v="0"/>
    <x v="1"/>
    <x v="1"/>
  </r>
  <r>
    <n v="1340"/>
    <d v="2024-01-05T01:23:00"/>
    <x v="0"/>
    <x v="1"/>
    <x v="3"/>
  </r>
  <r>
    <n v="1341"/>
    <d v="2024-02-06T02:41:00"/>
    <x v="0"/>
    <x v="0"/>
    <x v="3"/>
  </r>
  <r>
    <n v="1342"/>
    <d v="2024-01-12T19:38:00"/>
    <x v="0"/>
    <x v="1"/>
    <x v="0"/>
  </r>
  <r>
    <n v="1343"/>
    <d v="2024-03-05T12:29:00"/>
    <x v="0"/>
    <x v="1"/>
    <x v="0"/>
  </r>
  <r>
    <n v="1344"/>
    <d v="2024-03-15T17:50:00"/>
    <x v="0"/>
    <x v="1"/>
    <x v="0"/>
  </r>
  <r>
    <n v="1345"/>
    <d v="2024-01-06T14:58:00"/>
    <x v="0"/>
    <x v="2"/>
    <x v="2"/>
  </r>
  <r>
    <n v="1346"/>
    <d v="2024-03-14T20:12:00"/>
    <x v="1"/>
    <x v="0"/>
    <x v="2"/>
  </r>
  <r>
    <n v="1347"/>
    <d v="2024-02-11T19:30:00"/>
    <x v="1"/>
    <x v="1"/>
    <x v="1"/>
  </r>
  <r>
    <n v="1348"/>
    <d v="2024-03-05T04:03:00"/>
    <x v="0"/>
    <x v="0"/>
    <x v="0"/>
  </r>
  <r>
    <n v="1349"/>
    <d v="2024-02-27T03:51:00"/>
    <x v="0"/>
    <x v="1"/>
    <x v="0"/>
  </r>
  <r>
    <n v="1350"/>
    <d v="2024-02-13T22:05:00"/>
    <x v="1"/>
    <x v="0"/>
    <x v="2"/>
  </r>
  <r>
    <n v="1351"/>
    <d v="2024-03-05T20:11:00"/>
    <x v="0"/>
    <x v="0"/>
    <x v="1"/>
  </r>
  <r>
    <n v="1352"/>
    <d v="2024-01-06T07:45:00"/>
    <x v="1"/>
    <x v="0"/>
    <x v="0"/>
  </r>
  <r>
    <n v="1353"/>
    <d v="2024-02-26T14:33:00"/>
    <x v="1"/>
    <x v="1"/>
    <x v="1"/>
  </r>
  <r>
    <n v="1354"/>
    <d v="2024-03-07T19:10:00"/>
    <x v="0"/>
    <x v="0"/>
    <x v="0"/>
  </r>
  <r>
    <n v="1355"/>
    <d v="2024-02-16T11:58:00"/>
    <x v="0"/>
    <x v="1"/>
    <x v="3"/>
  </r>
  <r>
    <n v="1356"/>
    <d v="2024-02-06T12:26:00"/>
    <x v="1"/>
    <x v="0"/>
    <x v="3"/>
  </r>
  <r>
    <n v="1357"/>
    <d v="2024-02-13T21:38:00"/>
    <x v="0"/>
    <x v="0"/>
    <x v="0"/>
  </r>
  <r>
    <n v="1358"/>
    <d v="2024-01-07T20:41:00"/>
    <x v="1"/>
    <x v="1"/>
    <x v="0"/>
  </r>
  <r>
    <n v="1359"/>
    <d v="2024-02-12T02:21:00"/>
    <x v="1"/>
    <x v="0"/>
    <x v="2"/>
  </r>
  <r>
    <n v="1360"/>
    <d v="2024-01-13T17:43:00"/>
    <x v="1"/>
    <x v="0"/>
    <x v="0"/>
  </r>
  <r>
    <n v="1361"/>
    <d v="2024-02-19T09:16:00"/>
    <x v="0"/>
    <x v="1"/>
    <x v="1"/>
  </r>
  <r>
    <n v="1362"/>
    <d v="2024-03-25T19:55:00"/>
    <x v="1"/>
    <x v="0"/>
    <x v="3"/>
  </r>
  <r>
    <n v="1363"/>
    <d v="2024-01-20T10:05:00"/>
    <x v="0"/>
    <x v="0"/>
    <x v="1"/>
  </r>
  <r>
    <n v="1364"/>
    <d v="2024-03-15T21:09:00"/>
    <x v="1"/>
    <x v="0"/>
    <x v="3"/>
  </r>
  <r>
    <n v="1365"/>
    <d v="2024-02-14T09:41:00"/>
    <x v="1"/>
    <x v="2"/>
    <x v="2"/>
  </r>
  <r>
    <n v="1366"/>
    <d v="2024-03-30T21:25:00"/>
    <x v="0"/>
    <x v="1"/>
    <x v="0"/>
  </r>
  <r>
    <n v="1367"/>
    <d v="2024-01-17T19:45:00"/>
    <x v="1"/>
    <x v="1"/>
    <x v="1"/>
  </r>
  <r>
    <n v="1368"/>
    <d v="2024-01-11T09:35:00"/>
    <x v="1"/>
    <x v="1"/>
    <x v="2"/>
  </r>
  <r>
    <n v="1369"/>
    <d v="2024-02-18T20:50:00"/>
    <x v="0"/>
    <x v="0"/>
    <x v="1"/>
  </r>
  <r>
    <n v="1370"/>
    <d v="2024-02-12T04:42:00"/>
    <x v="0"/>
    <x v="0"/>
    <x v="0"/>
  </r>
  <r>
    <n v="1371"/>
    <d v="2024-03-30T23:43:00"/>
    <x v="0"/>
    <x v="1"/>
    <x v="0"/>
  </r>
  <r>
    <n v="1372"/>
    <d v="2024-03-08T02:41:00"/>
    <x v="0"/>
    <x v="0"/>
    <x v="4"/>
  </r>
  <r>
    <n v="1373"/>
    <d v="2024-03-26T13:32:00"/>
    <x v="0"/>
    <x v="0"/>
    <x v="0"/>
  </r>
  <r>
    <n v="1374"/>
    <d v="2024-02-16T00:23:00"/>
    <x v="1"/>
    <x v="0"/>
    <x v="4"/>
  </r>
  <r>
    <n v="1375"/>
    <d v="2024-02-09T05:13:00"/>
    <x v="0"/>
    <x v="0"/>
    <x v="4"/>
  </r>
  <r>
    <n v="1376"/>
    <d v="2024-02-13T15:12:00"/>
    <x v="0"/>
    <x v="2"/>
    <x v="3"/>
  </r>
  <r>
    <n v="1377"/>
    <d v="2024-01-29T04:09:00"/>
    <x v="1"/>
    <x v="0"/>
    <x v="1"/>
  </r>
  <r>
    <n v="1378"/>
    <d v="2024-01-10T09:54:00"/>
    <x v="0"/>
    <x v="1"/>
    <x v="1"/>
  </r>
  <r>
    <n v="1379"/>
    <d v="2024-01-13T16:49:00"/>
    <x v="1"/>
    <x v="0"/>
    <x v="3"/>
  </r>
  <r>
    <n v="1380"/>
    <d v="2024-03-10T23:56:00"/>
    <x v="0"/>
    <x v="2"/>
    <x v="0"/>
  </r>
  <r>
    <n v="1381"/>
    <d v="2024-03-08T01:42:00"/>
    <x v="0"/>
    <x v="0"/>
    <x v="2"/>
  </r>
  <r>
    <n v="1382"/>
    <d v="2024-02-13T19:08:00"/>
    <x v="1"/>
    <x v="0"/>
    <x v="1"/>
  </r>
  <r>
    <n v="1383"/>
    <d v="2024-03-17T12:09:00"/>
    <x v="1"/>
    <x v="1"/>
    <x v="2"/>
  </r>
  <r>
    <n v="1384"/>
    <d v="2024-01-21T05:53:00"/>
    <x v="1"/>
    <x v="1"/>
    <x v="2"/>
  </r>
  <r>
    <n v="1385"/>
    <d v="2024-03-29T19:51:00"/>
    <x v="1"/>
    <x v="0"/>
    <x v="2"/>
  </r>
  <r>
    <n v="1386"/>
    <d v="2024-01-22T23:28:00"/>
    <x v="1"/>
    <x v="0"/>
    <x v="1"/>
  </r>
  <r>
    <n v="1387"/>
    <d v="2024-01-06T13:23:00"/>
    <x v="0"/>
    <x v="0"/>
    <x v="3"/>
  </r>
  <r>
    <n v="1388"/>
    <d v="2024-03-27T23:15:00"/>
    <x v="0"/>
    <x v="0"/>
    <x v="0"/>
  </r>
  <r>
    <n v="1389"/>
    <d v="2024-02-26T19:18:00"/>
    <x v="1"/>
    <x v="0"/>
    <x v="4"/>
  </r>
  <r>
    <n v="1390"/>
    <d v="2024-02-27T07:34:00"/>
    <x v="1"/>
    <x v="0"/>
    <x v="1"/>
  </r>
  <r>
    <n v="1391"/>
    <d v="2024-01-31T09:51:00"/>
    <x v="1"/>
    <x v="0"/>
    <x v="3"/>
  </r>
  <r>
    <n v="1392"/>
    <d v="2024-03-01T06:23:00"/>
    <x v="0"/>
    <x v="0"/>
    <x v="1"/>
  </r>
  <r>
    <n v="1393"/>
    <d v="2024-03-27T18:28:00"/>
    <x v="0"/>
    <x v="1"/>
    <x v="3"/>
  </r>
  <r>
    <n v="1394"/>
    <d v="2024-02-29T09:49:00"/>
    <x v="1"/>
    <x v="2"/>
    <x v="0"/>
  </r>
  <r>
    <n v="1395"/>
    <d v="2024-02-18T16:33:00"/>
    <x v="0"/>
    <x v="1"/>
    <x v="3"/>
  </r>
  <r>
    <n v="1396"/>
    <d v="2024-02-23T05:52:00"/>
    <x v="1"/>
    <x v="0"/>
    <x v="0"/>
  </r>
  <r>
    <n v="1397"/>
    <d v="2024-01-26T19:08:00"/>
    <x v="1"/>
    <x v="0"/>
    <x v="3"/>
  </r>
  <r>
    <n v="1398"/>
    <d v="2024-02-02T01:41:00"/>
    <x v="0"/>
    <x v="2"/>
    <x v="4"/>
  </r>
  <r>
    <n v="1399"/>
    <d v="2024-03-02T11:35:00"/>
    <x v="1"/>
    <x v="0"/>
    <x v="0"/>
  </r>
  <r>
    <n v="1400"/>
    <d v="2024-01-14T22:54:00"/>
    <x v="1"/>
    <x v="0"/>
    <x v="0"/>
  </r>
  <r>
    <n v="1401"/>
    <d v="2024-03-07T03:18:00"/>
    <x v="0"/>
    <x v="1"/>
    <x v="3"/>
  </r>
  <r>
    <n v="1402"/>
    <d v="2024-01-11T05:17:00"/>
    <x v="1"/>
    <x v="1"/>
    <x v="0"/>
  </r>
  <r>
    <n v="1403"/>
    <d v="2024-02-27T16:09:00"/>
    <x v="0"/>
    <x v="1"/>
    <x v="3"/>
  </r>
  <r>
    <n v="1404"/>
    <d v="2024-02-25T02:58:00"/>
    <x v="1"/>
    <x v="0"/>
    <x v="0"/>
  </r>
  <r>
    <n v="1405"/>
    <d v="2024-01-29T14:56:00"/>
    <x v="0"/>
    <x v="0"/>
    <x v="0"/>
  </r>
  <r>
    <n v="1406"/>
    <d v="2024-02-14T00:26:00"/>
    <x v="1"/>
    <x v="2"/>
    <x v="4"/>
  </r>
  <r>
    <n v="1407"/>
    <d v="2024-01-07T12:32:00"/>
    <x v="0"/>
    <x v="0"/>
    <x v="1"/>
  </r>
  <r>
    <n v="1408"/>
    <d v="2024-02-17T07:24:00"/>
    <x v="0"/>
    <x v="1"/>
    <x v="3"/>
  </r>
  <r>
    <n v="1409"/>
    <d v="2024-01-11T11:14:00"/>
    <x v="1"/>
    <x v="1"/>
    <x v="2"/>
  </r>
  <r>
    <n v="1410"/>
    <d v="2024-01-04T10:59:00"/>
    <x v="0"/>
    <x v="1"/>
    <x v="1"/>
  </r>
  <r>
    <n v="1411"/>
    <d v="2024-01-13T22:41:00"/>
    <x v="0"/>
    <x v="0"/>
    <x v="1"/>
  </r>
  <r>
    <n v="1412"/>
    <d v="2024-02-12T04:08:00"/>
    <x v="1"/>
    <x v="0"/>
    <x v="1"/>
  </r>
  <r>
    <n v="1413"/>
    <d v="2024-01-05T09:58:00"/>
    <x v="1"/>
    <x v="1"/>
    <x v="1"/>
  </r>
  <r>
    <n v="1414"/>
    <d v="2024-03-01T22:53:00"/>
    <x v="1"/>
    <x v="2"/>
    <x v="1"/>
  </r>
  <r>
    <n v="1415"/>
    <d v="2024-01-18T22:30:00"/>
    <x v="1"/>
    <x v="2"/>
    <x v="2"/>
  </r>
  <r>
    <n v="1416"/>
    <d v="2024-02-27T19:00:00"/>
    <x v="0"/>
    <x v="0"/>
    <x v="0"/>
  </r>
  <r>
    <n v="1417"/>
    <d v="2024-01-11T00:16:00"/>
    <x v="0"/>
    <x v="0"/>
    <x v="3"/>
  </r>
  <r>
    <n v="1418"/>
    <d v="2024-01-28T04:35:00"/>
    <x v="0"/>
    <x v="2"/>
    <x v="0"/>
  </r>
  <r>
    <n v="1419"/>
    <d v="2024-03-18T16:27:00"/>
    <x v="1"/>
    <x v="1"/>
    <x v="1"/>
  </r>
  <r>
    <n v="1420"/>
    <d v="2024-01-15T09:15:00"/>
    <x v="1"/>
    <x v="2"/>
    <x v="0"/>
  </r>
  <r>
    <n v="1421"/>
    <d v="2024-02-08T03:03:00"/>
    <x v="1"/>
    <x v="0"/>
    <x v="1"/>
  </r>
  <r>
    <n v="1422"/>
    <d v="2024-01-31T13:40:00"/>
    <x v="1"/>
    <x v="1"/>
    <x v="1"/>
  </r>
  <r>
    <n v="1423"/>
    <d v="2024-03-20T14:04:00"/>
    <x v="0"/>
    <x v="1"/>
    <x v="0"/>
  </r>
  <r>
    <n v="1424"/>
    <d v="2024-01-15T15:38:00"/>
    <x v="0"/>
    <x v="1"/>
    <x v="0"/>
  </r>
  <r>
    <n v="1425"/>
    <d v="2024-03-09T00:40:00"/>
    <x v="0"/>
    <x v="0"/>
    <x v="0"/>
  </r>
  <r>
    <n v="1426"/>
    <d v="2024-03-06T18:15:00"/>
    <x v="1"/>
    <x v="0"/>
    <x v="1"/>
  </r>
  <r>
    <n v="1427"/>
    <d v="2024-01-19T09:27:00"/>
    <x v="0"/>
    <x v="1"/>
    <x v="3"/>
  </r>
  <r>
    <n v="1428"/>
    <d v="2024-01-01T19:22:00"/>
    <x v="1"/>
    <x v="0"/>
    <x v="0"/>
  </r>
  <r>
    <n v="1429"/>
    <d v="2024-01-31T18:26:00"/>
    <x v="0"/>
    <x v="0"/>
    <x v="1"/>
  </r>
  <r>
    <n v="1430"/>
    <d v="2024-01-24T21:42:00"/>
    <x v="0"/>
    <x v="2"/>
    <x v="2"/>
  </r>
  <r>
    <n v="1431"/>
    <d v="2024-01-11T16:23:00"/>
    <x v="0"/>
    <x v="0"/>
    <x v="2"/>
  </r>
  <r>
    <n v="1432"/>
    <d v="2024-01-09T16:34:00"/>
    <x v="1"/>
    <x v="1"/>
    <x v="4"/>
  </r>
  <r>
    <n v="1433"/>
    <d v="2024-03-05T16:35:00"/>
    <x v="1"/>
    <x v="0"/>
    <x v="2"/>
  </r>
  <r>
    <n v="1434"/>
    <d v="2024-01-03T12:55:00"/>
    <x v="0"/>
    <x v="1"/>
    <x v="2"/>
  </r>
  <r>
    <n v="1435"/>
    <d v="2024-03-01T01:40:00"/>
    <x v="0"/>
    <x v="2"/>
    <x v="0"/>
  </r>
  <r>
    <n v="1436"/>
    <d v="2024-02-19T11:16:00"/>
    <x v="1"/>
    <x v="0"/>
    <x v="0"/>
  </r>
  <r>
    <n v="1437"/>
    <d v="2024-01-03T11:50:00"/>
    <x v="0"/>
    <x v="0"/>
    <x v="0"/>
  </r>
  <r>
    <n v="1438"/>
    <d v="2024-01-09T11:15:00"/>
    <x v="1"/>
    <x v="0"/>
    <x v="0"/>
  </r>
  <r>
    <n v="1439"/>
    <d v="2024-03-25T20:06:00"/>
    <x v="1"/>
    <x v="0"/>
    <x v="1"/>
  </r>
  <r>
    <n v="1440"/>
    <d v="2024-03-15T23:48:00"/>
    <x v="0"/>
    <x v="1"/>
    <x v="2"/>
  </r>
  <r>
    <n v="1441"/>
    <d v="2024-02-12T04:02:00"/>
    <x v="0"/>
    <x v="2"/>
    <x v="2"/>
  </r>
  <r>
    <n v="1442"/>
    <d v="2024-02-15T17:21:00"/>
    <x v="1"/>
    <x v="0"/>
    <x v="0"/>
  </r>
  <r>
    <n v="1443"/>
    <d v="2024-03-23T05:53:00"/>
    <x v="0"/>
    <x v="0"/>
    <x v="0"/>
  </r>
  <r>
    <n v="1444"/>
    <d v="2024-03-28T14:44:00"/>
    <x v="0"/>
    <x v="0"/>
    <x v="1"/>
  </r>
  <r>
    <n v="1445"/>
    <d v="2024-03-02T20:11:00"/>
    <x v="1"/>
    <x v="1"/>
    <x v="4"/>
  </r>
  <r>
    <n v="1446"/>
    <d v="2024-01-18T02:45:00"/>
    <x v="1"/>
    <x v="0"/>
    <x v="0"/>
  </r>
  <r>
    <n v="1447"/>
    <d v="2024-02-28T01:18:00"/>
    <x v="1"/>
    <x v="1"/>
    <x v="3"/>
  </r>
  <r>
    <n v="1448"/>
    <d v="2024-01-26T01:50:00"/>
    <x v="1"/>
    <x v="1"/>
    <x v="1"/>
  </r>
  <r>
    <n v="1449"/>
    <d v="2024-01-26T01:20:00"/>
    <x v="0"/>
    <x v="1"/>
    <x v="1"/>
  </r>
  <r>
    <n v="1450"/>
    <d v="2024-02-09T16:25:00"/>
    <x v="0"/>
    <x v="0"/>
    <x v="2"/>
  </r>
  <r>
    <n v="1451"/>
    <d v="2024-03-10T15:16:00"/>
    <x v="1"/>
    <x v="1"/>
    <x v="0"/>
  </r>
  <r>
    <n v="1452"/>
    <d v="2024-01-05T20:12:00"/>
    <x v="1"/>
    <x v="0"/>
    <x v="0"/>
  </r>
  <r>
    <n v="1453"/>
    <d v="2024-02-06T11:55:00"/>
    <x v="0"/>
    <x v="0"/>
    <x v="1"/>
  </r>
  <r>
    <n v="1454"/>
    <d v="2024-01-07T20:21:00"/>
    <x v="1"/>
    <x v="2"/>
    <x v="2"/>
  </r>
  <r>
    <n v="1455"/>
    <d v="2024-02-04T03:51:00"/>
    <x v="0"/>
    <x v="1"/>
    <x v="4"/>
  </r>
  <r>
    <n v="1456"/>
    <d v="2024-02-17T13:56:00"/>
    <x v="0"/>
    <x v="0"/>
    <x v="2"/>
  </r>
  <r>
    <n v="1457"/>
    <d v="2024-02-21T23:28:00"/>
    <x v="0"/>
    <x v="0"/>
    <x v="0"/>
  </r>
  <r>
    <n v="1458"/>
    <d v="2024-02-19T10:11:00"/>
    <x v="0"/>
    <x v="0"/>
    <x v="1"/>
  </r>
  <r>
    <n v="1459"/>
    <d v="2024-03-04T22:31:00"/>
    <x v="0"/>
    <x v="0"/>
    <x v="0"/>
  </r>
  <r>
    <n v="1460"/>
    <d v="2024-02-17T16:17:00"/>
    <x v="0"/>
    <x v="0"/>
    <x v="2"/>
  </r>
  <r>
    <n v="1461"/>
    <d v="2024-01-11T23:27:00"/>
    <x v="0"/>
    <x v="0"/>
    <x v="1"/>
  </r>
  <r>
    <n v="1462"/>
    <d v="2024-01-11T13:38:00"/>
    <x v="1"/>
    <x v="0"/>
    <x v="4"/>
  </r>
  <r>
    <n v="1463"/>
    <d v="2024-01-24T17:18:00"/>
    <x v="1"/>
    <x v="1"/>
    <x v="3"/>
  </r>
  <r>
    <n v="1464"/>
    <d v="2024-02-11T03:05:00"/>
    <x v="1"/>
    <x v="1"/>
    <x v="1"/>
  </r>
  <r>
    <n v="1465"/>
    <d v="2024-02-11T21:18:00"/>
    <x v="1"/>
    <x v="1"/>
    <x v="1"/>
  </r>
  <r>
    <n v="1466"/>
    <d v="2024-02-09T14:38:00"/>
    <x v="0"/>
    <x v="0"/>
    <x v="4"/>
  </r>
  <r>
    <n v="1467"/>
    <d v="2024-02-24T05:44:00"/>
    <x v="0"/>
    <x v="2"/>
    <x v="0"/>
  </r>
  <r>
    <n v="1468"/>
    <d v="2024-02-26T11:28:00"/>
    <x v="1"/>
    <x v="1"/>
    <x v="0"/>
  </r>
  <r>
    <n v="1469"/>
    <d v="2024-01-06T23:55:00"/>
    <x v="0"/>
    <x v="1"/>
    <x v="0"/>
  </r>
  <r>
    <n v="1470"/>
    <d v="2024-02-15T19:27:00"/>
    <x v="1"/>
    <x v="1"/>
    <x v="0"/>
  </r>
  <r>
    <n v="1471"/>
    <d v="2024-02-05T20:50:00"/>
    <x v="0"/>
    <x v="2"/>
    <x v="1"/>
  </r>
  <r>
    <n v="1472"/>
    <d v="2024-01-08T02:42:00"/>
    <x v="1"/>
    <x v="1"/>
    <x v="1"/>
  </r>
  <r>
    <n v="1473"/>
    <d v="2024-03-22T12:23:00"/>
    <x v="0"/>
    <x v="0"/>
    <x v="1"/>
  </r>
  <r>
    <n v="1474"/>
    <d v="2024-03-06T23:43:00"/>
    <x v="1"/>
    <x v="1"/>
    <x v="0"/>
  </r>
  <r>
    <n v="1475"/>
    <d v="2024-01-21T00:09:00"/>
    <x v="1"/>
    <x v="1"/>
    <x v="1"/>
  </r>
  <r>
    <n v="1476"/>
    <d v="2024-03-18T21:50:00"/>
    <x v="1"/>
    <x v="1"/>
    <x v="2"/>
  </r>
  <r>
    <n v="1477"/>
    <d v="2024-02-26T01:08:00"/>
    <x v="0"/>
    <x v="1"/>
    <x v="1"/>
  </r>
  <r>
    <n v="1478"/>
    <d v="2024-01-09T07:49:00"/>
    <x v="1"/>
    <x v="0"/>
    <x v="1"/>
  </r>
  <r>
    <n v="1479"/>
    <d v="2024-03-23T11:23:00"/>
    <x v="1"/>
    <x v="0"/>
    <x v="2"/>
  </r>
  <r>
    <n v="1480"/>
    <d v="2024-02-19T18:02:00"/>
    <x v="1"/>
    <x v="2"/>
    <x v="0"/>
  </r>
  <r>
    <n v="1481"/>
    <d v="2024-03-18T04:43:00"/>
    <x v="1"/>
    <x v="1"/>
    <x v="0"/>
  </r>
  <r>
    <n v="1482"/>
    <d v="2024-02-27T11:23:00"/>
    <x v="1"/>
    <x v="1"/>
    <x v="3"/>
  </r>
  <r>
    <n v="1483"/>
    <d v="2024-02-26T02:36:00"/>
    <x v="0"/>
    <x v="0"/>
    <x v="4"/>
  </r>
  <r>
    <n v="1484"/>
    <d v="2024-01-18T16:23:00"/>
    <x v="1"/>
    <x v="0"/>
    <x v="1"/>
  </r>
  <r>
    <n v="1485"/>
    <d v="2024-02-20T10:41:00"/>
    <x v="1"/>
    <x v="2"/>
    <x v="0"/>
  </r>
  <r>
    <n v="1486"/>
    <d v="2024-02-05T07:07:00"/>
    <x v="1"/>
    <x v="1"/>
    <x v="2"/>
  </r>
  <r>
    <n v="1487"/>
    <d v="2024-01-04T23:11:00"/>
    <x v="0"/>
    <x v="1"/>
    <x v="1"/>
  </r>
  <r>
    <n v="1488"/>
    <d v="2024-03-04T16:24:00"/>
    <x v="0"/>
    <x v="0"/>
    <x v="3"/>
  </r>
  <r>
    <n v="1489"/>
    <d v="2024-03-12T03:16:00"/>
    <x v="1"/>
    <x v="1"/>
    <x v="0"/>
  </r>
  <r>
    <n v="1490"/>
    <d v="2024-02-03T22:28:00"/>
    <x v="1"/>
    <x v="0"/>
    <x v="0"/>
  </r>
  <r>
    <n v="1491"/>
    <d v="2024-01-28T19:18:00"/>
    <x v="0"/>
    <x v="1"/>
    <x v="1"/>
  </r>
  <r>
    <n v="1492"/>
    <d v="2024-03-29T15:12:00"/>
    <x v="1"/>
    <x v="0"/>
    <x v="2"/>
  </r>
  <r>
    <n v="1493"/>
    <d v="2024-01-16T04:54:00"/>
    <x v="0"/>
    <x v="0"/>
    <x v="0"/>
  </r>
  <r>
    <n v="1494"/>
    <d v="2024-01-10T14:11:00"/>
    <x v="0"/>
    <x v="1"/>
    <x v="0"/>
  </r>
  <r>
    <n v="1495"/>
    <d v="2024-02-26T02:51:00"/>
    <x v="0"/>
    <x v="2"/>
    <x v="2"/>
  </r>
  <r>
    <n v="1496"/>
    <d v="2024-03-28T10:42:00"/>
    <x v="0"/>
    <x v="0"/>
    <x v="3"/>
  </r>
  <r>
    <n v="1497"/>
    <d v="2024-02-14T22:04:00"/>
    <x v="1"/>
    <x v="1"/>
    <x v="4"/>
  </r>
  <r>
    <n v="1498"/>
    <d v="2024-03-11T17:18:00"/>
    <x v="0"/>
    <x v="0"/>
    <x v="1"/>
  </r>
  <r>
    <n v="1499"/>
    <d v="2024-02-08T05:45:00"/>
    <x v="1"/>
    <x v="0"/>
    <x v="2"/>
  </r>
  <r>
    <n v="1500"/>
    <d v="2024-03-30T20:11:00"/>
    <x v="1"/>
    <x v="0"/>
    <x v="0"/>
  </r>
  <r>
    <n v="1501"/>
    <d v="2024-02-16T16:14:00"/>
    <x v="1"/>
    <x v="0"/>
    <x v="2"/>
  </r>
  <r>
    <n v="1502"/>
    <d v="2024-01-16T06:50:00"/>
    <x v="1"/>
    <x v="1"/>
    <x v="2"/>
  </r>
  <r>
    <n v="1503"/>
    <d v="2024-01-18T07:50:00"/>
    <x v="0"/>
    <x v="0"/>
    <x v="1"/>
  </r>
  <r>
    <n v="1504"/>
    <d v="2024-03-04T00:23:00"/>
    <x v="1"/>
    <x v="0"/>
    <x v="2"/>
  </r>
  <r>
    <n v="1505"/>
    <d v="2024-03-11T18:23:00"/>
    <x v="1"/>
    <x v="2"/>
    <x v="0"/>
  </r>
  <r>
    <n v="1506"/>
    <d v="2024-02-29T17:08:00"/>
    <x v="0"/>
    <x v="0"/>
    <x v="0"/>
  </r>
  <r>
    <n v="1507"/>
    <d v="2024-03-19T02:04:00"/>
    <x v="1"/>
    <x v="1"/>
    <x v="2"/>
  </r>
  <r>
    <n v="1508"/>
    <d v="2024-02-09T12:45:00"/>
    <x v="1"/>
    <x v="0"/>
    <x v="0"/>
  </r>
  <r>
    <n v="1509"/>
    <d v="2024-03-02T16:26:00"/>
    <x v="1"/>
    <x v="1"/>
    <x v="0"/>
  </r>
  <r>
    <n v="1510"/>
    <d v="2024-02-22T18:04:00"/>
    <x v="1"/>
    <x v="0"/>
    <x v="4"/>
  </r>
  <r>
    <n v="1511"/>
    <d v="2024-01-17T10:41:00"/>
    <x v="1"/>
    <x v="0"/>
    <x v="2"/>
  </r>
  <r>
    <n v="1512"/>
    <d v="2024-01-10T14:29:00"/>
    <x v="0"/>
    <x v="0"/>
    <x v="2"/>
  </r>
  <r>
    <n v="1513"/>
    <d v="2024-03-28T16:22:00"/>
    <x v="1"/>
    <x v="0"/>
    <x v="3"/>
  </r>
  <r>
    <n v="1514"/>
    <d v="2024-01-17T17:40:00"/>
    <x v="1"/>
    <x v="0"/>
    <x v="4"/>
  </r>
  <r>
    <n v="1515"/>
    <d v="2024-03-16T05:49:00"/>
    <x v="0"/>
    <x v="1"/>
    <x v="1"/>
  </r>
  <r>
    <n v="1516"/>
    <d v="2024-01-17T13:32:00"/>
    <x v="0"/>
    <x v="2"/>
    <x v="3"/>
  </r>
  <r>
    <n v="1517"/>
    <d v="2024-01-08T03:33:00"/>
    <x v="0"/>
    <x v="1"/>
    <x v="2"/>
  </r>
  <r>
    <n v="1518"/>
    <d v="2024-01-20T09:10:00"/>
    <x v="1"/>
    <x v="1"/>
    <x v="2"/>
  </r>
  <r>
    <n v="1519"/>
    <d v="2024-01-21T10:59:00"/>
    <x v="1"/>
    <x v="0"/>
    <x v="2"/>
  </r>
  <r>
    <n v="1520"/>
    <d v="2024-01-29T11:33:00"/>
    <x v="0"/>
    <x v="0"/>
    <x v="1"/>
  </r>
  <r>
    <n v="1521"/>
    <d v="2024-02-06T02:16:00"/>
    <x v="1"/>
    <x v="0"/>
    <x v="1"/>
  </r>
  <r>
    <n v="1522"/>
    <d v="2024-01-26T20:35:00"/>
    <x v="0"/>
    <x v="0"/>
    <x v="2"/>
  </r>
  <r>
    <n v="1523"/>
    <d v="2024-02-05T04:40:00"/>
    <x v="1"/>
    <x v="1"/>
    <x v="0"/>
  </r>
  <r>
    <n v="1524"/>
    <d v="2024-02-08T19:34:00"/>
    <x v="1"/>
    <x v="1"/>
    <x v="1"/>
  </r>
  <r>
    <n v="1525"/>
    <d v="2024-01-12T16:41:00"/>
    <x v="1"/>
    <x v="0"/>
    <x v="0"/>
  </r>
  <r>
    <n v="1526"/>
    <d v="2024-01-22T18:37:00"/>
    <x v="0"/>
    <x v="0"/>
    <x v="1"/>
  </r>
  <r>
    <n v="1527"/>
    <d v="2024-01-20T05:42:00"/>
    <x v="0"/>
    <x v="1"/>
    <x v="1"/>
  </r>
  <r>
    <n v="1528"/>
    <d v="2024-03-20T23:57:00"/>
    <x v="0"/>
    <x v="1"/>
    <x v="1"/>
  </r>
  <r>
    <n v="1529"/>
    <d v="2024-03-18T10:53:00"/>
    <x v="0"/>
    <x v="0"/>
    <x v="3"/>
  </r>
  <r>
    <n v="1530"/>
    <d v="2024-03-13T01:52:00"/>
    <x v="1"/>
    <x v="2"/>
    <x v="3"/>
  </r>
  <r>
    <n v="1531"/>
    <d v="2024-01-04T02:02:00"/>
    <x v="1"/>
    <x v="2"/>
    <x v="2"/>
  </r>
  <r>
    <n v="1532"/>
    <d v="2024-03-23T18:16:00"/>
    <x v="1"/>
    <x v="0"/>
    <x v="1"/>
  </r>
  <r>
    <n v="1533"/>
    <d v="2024-03-24T06:49:00"/>
    <x v="1"/>
    <x v="0"/>
    <x v="1"/>
  </r>
  <r>
    <n v="1534"/>
    <d v="2024-03-14T13:39:00"/>
    <x v="1"/>
    <x v="1"/>
    <x v="0"/>
  </r>
  <r>
    <n v="1535"/>
    <d v="2024-03-22T00:31:00"/>
    <x v="1"/>
    <x v="2"/>
    <x v="0"/>
  </r>
  <r>
    <n v="1536"/>
    <d v="2024-03-21T17:18:00"/>
    <x v="1"/>
    <x v="2"/>
    <x v="0"/>
  </r>
  <r>
    <n v="1537"/>
    <d v="2024-03-23T09:30:00"/>
    <x v="1"/>
    <x v="0"/>
    <x v="2"/>
  </r>
  <r>
    <n v="1538"/>
    <d v="2024-02-01T21:25:00"/>
    <x v="0"/>
    <x v="0"/>
    <x v="1"/>
  </r>
  <r>
    <n v="1539"/>
    <d v="2024-02-08T14:04:00"/>
    <x v="0"/>
    <x v="1"/>
    <x v="3"/>
  </r>
  <r>
    <n v="1540"/>
    <d v="2024-03-29T01:10:00"/>
    <x v="0"/>
    <x v="1"/>
    <x v="0"/>
  </r>
  <r>
    <n v="1541"/>
    <d v="2024-02-26T13:30:00"/>
    <x v="1"/>
    <x v="0"/>
    <x v="0"/>
  </r>
  <r>
    <n v="1542"/>
    <d v="2024-02-29T06:21:00"/>
    <x v="1"/>
    <x v="2"/>
    <x v="4"/>
  </r>
  <r>
    <n v="1543"/>
    <d v="2024-03-18T04:20:00"/>
    <x v="0"/>
    <x v="1"/>
    <x v="0"/>
  </r>
  <r>
    <n v="1544"/>
    <d v="2024-02-10T23:55:00"/>
    <x v="1"/>
    <x v="1"/>
    <x v="2"/>
  </r>
  <r>
    <n v="1545"/>
    <d v="2024-02-14T12:08:00"/>
    <x v="1"/>
    <x v="2"/>
    <x v="1"/>
  </r>
  <r>
    <n v="1546"/>
    <d v="2024-02-17T16:35:00"/>
    <x v="0"/>
    <x v="1"/>
    <x v="2"/>
  </r>
  <r>
    <n v="1547"/>
    <d v="2024-01-14T10:15:00"/>
    <x v="0"/>
    <x v="0"/>
    <x v="0"/>
  </r>
  <r>
    <n v="1548"/>
    <d v="2024-02-29T03:17:00"/>
    <x v="1"/>
    <x v="1"/>
    <x v="0"/>
  </r>
  <r>
    <n v="1549"/>
    <d v="2024-02-27T07:09:00"/>
    <x v="1"/>
    <x v="0"/>
    <x v="0"/>
  </r>
  <r>
    <n v="1550"/>
    <d v="2024-01-13T01:18:00"/>
    <x v="1"/>
    <x v="1"/>
    <x v="1"/>
  </r>
  <r>
    <n v="1551"/>
    <d v="2024-02-19T19:26:00"/>
    <x v="1"/>
    <x v="0"/>
    <x v="2"/>
  </r>
  <r>
    <n v="1552"/>
    <d v="2024-02-01T05:52:00"/>
    <x v="1"/>
    <x v="1"/>
    <x v="0"/>
  </r>
  <r>
    <n v="1553"/>
    <d v="2024-02-11T18:46:00"/>
    <x v="1"/>
    <x v="0"/>
    <x v="1"/>
  </r>
  <r>
    <n v="1554"/>
    <d v="2024-02-10T06:48:00"/>
    <x v="1"/>
    <x v="0"/>
    <x v="3"/>
  </r>
  <r>
    <n v="1555"/>
    <d v="2024-01-21T15:32:00"/>
    <x v="1"/>
    <x v="0"/>
    <x v="0"/>
  </r>
  <r>
    <n v="1556"/>
    <d v="2024-02-29T15:56:00"/>
    <x v="0"/>
    <x v="0"/>
    <x v="2"/>
  </r>
  <r>
    <n v="1557"/>
    <d v="2024-02-09T15:01:00"/>
    <x v="0"/>
    <x v="1"/>
    <x v="1"/>
  </r>
  <r>
    <n v="1558"/>
    <d v="2024-01-12T12:32:00"/>
    <x v="0"/>
    <x v="1"/>
    <x v="0"/>
  </r>
  <r>
    <n v="1559"/>
    <d v="2024-02-28T07:13:00"/>
    <x v="1"/>
    <x v="1"/>
    <x v="2"/>
  </r>
  <r>
    <n v="1560"/>
    <d v="2024-03-15T11:03:00"/>
    <x v="1"/>
    <x v="0"/>
    <x v="1"/>
  </r>
  <r>
    <n v="1561"/>
    <d v="2024-01-07T09:31:00"/>
    <x v="1"/>
    <x v="0"/>
    <x v="3"/>
  </r>
  <r>
    <n v="1562"/>
    <d v="2024-03-17T20:43:00"/>
    <x v="0"/>
    <x v="0"/>
    <x v="3"/>
  </r>
  <r>
    <n v="1563"/>
    <d v="2024-03-01T09:34:00"/>
    <x v="0"/>
    <x v="0"/>
    <x v="1"/>
  </r>
  <r>
    <n v="1564"/>
    <d v="2024-01-02T03:27:00"/>
    <x v="0"/>
    <x v="2"/>
    <x v="1"/>
  </r>
  <r>
    <n v="1565"/>
    <d v="2024-01-18T08:46:00"/>
    <x v="0"/>
    <x v="0"/>
    <x v="2"/>
  </r>
  <r>
    <n v="1566"/>
    <d v="2024-02-16T12:23:00"/>
    <x v="1"/>
    <x v="0"/>
    <x v="1"/>
  </r>
  <r>
    <n v="1567"/>
    <d v="2024-01-06T12:03:00"/>
    <x v="0"/>
    <x v="0"/>
    <x v="2"/>
  </r>
  <r>
    <n v="1568"/>
    <d v="2024-03-13T17:12:00"/>
    <x v="0"/>
    <x v="0"/>
    <x v="0"/>
  </r>
  <r>
    <n v="1569"/>
    <d v="2024-02-16T17:18:00"/>
    <x v="1"/>
    <x v="1"/>
    <x v="1"/>
  </r>
  <r>
    <n v="1570"/>
    <d v="2024-01-10T12:32:00"/>
    <x v="0"/>
    <x v="1"/>
    <x v="1"/>
  </r>
  <r>
    <n v="1571"/>
    <d v="2024-02-27T17:17:00"/>
    <x v="0"/>
    <x v="0"/>
    <x v="2"/>
  </r>
  <r>
    <n v="1572"/>
    <d v="2024-03-20T21:39:00"/>
    <x v="1"/>
    <x v="0"/>
    <x v="4"/>
  </r>
  <r>
    <n v="1573"/>
    <d v="2024-01-16T04:06:00"/>
    <x v="0"/>
    <x v="0"/>
    <x v="0"/>
  </r>
  <r>
    <n v="1574"/>
    <d v="2024-02-20T11:50:00"/>
    <x v="1"/>
    <x v="0"/>
    <x v="2"/>
  </r>
  <r>
    <n v="1575"/>
    <d v="2024-02-13T17:23:00"/>
    <x v="1"/>
    <x v="0"/>
    <x v="0"/>
  </r>
  <r>
    <n v="1576"/>
    <d v="2024-01-19T06:38:00"/>
    <x v="1"/>
    <x v="2"/>
    <x v="3"/>
  </r>
  <r>
    <n v="1577"/>
    <d v="2024-03-06T12:32:00"/>
    <x v="0"/>
    <x v="1"/>
    <x v="1"/>
  </r>
  <r>
    <n v="1578"/>
    <d v="2024-01-06T01:02:00"/>
    <x v="1"/>
    <x v="1"/>
    <x v="2"/>
  </r>
  <r>
    <n v="1579"/>
    <d v="2024-01-18T22:21:00"/>
    <x v="0"/>
    <x v="0"/>
    <x v="1"/>
  </r>
  <r>
    <n v="1580"/>
    <d v="2024-03-01T16:29:00"/>
    <x v="0"/>
    <x v="0"/>
    <x v="2"/>
  </r>
  <r>
    <n v="1581"/>
    <d v="2024-01-20T19:57:00"/>
    <x v="0"/>
    <x v="1"/>
    <x v="3"/>
  </r>
  <r>
    <n v="1582"/>
    <d v="2024-03-06T04:20:00"/>
    <x v="1"/>
    <x v="1"/>
    <x v="2"/>
  </r>
  <r>
    <n v="1583"/>
    <d v="2024-03-19T10:10:00"/>
    <x v="0"/>
    <x v="1"/>
    <x v="2"/>
  </r>
  <r>
    <n v="1584"/>
    <d v="2024-02-20T19:47:00"/>
    <x v="0"/>
    <x v="0"/>
    <x v="4"/>
  </r>
  <r>
    <n v="1585"/>
    <d v="2024-02-08T18:21:00"/>
    <x v="1"/>
    <x v="1"/>
    <x v="0"/>
  </r>
  <r>
    <n v="1586"/>
    <d v="2024-03-05T16:34:00"/>
    <x v="0"/>
    <x v="0"/>
    <x v="0"/>
  </r>
  <r>
    <n v="1587"/>
    <d v="2024-03-03T22:36:00"/>
    <x v="0"/>
    <x v="2"/>
    <x v="1"/>
  </r>
  <r>
    <n v="1588"/>
    <d v="2024-02-08T15:52:00"/>
    <x v="0"/>
    <x v="1"/>
    <x v="4"/>
  </r>
  <r>
    <n v="1589"/>
    <d v="2024-01-03T11:21:00"/>
    <x v="0"/>
    <x v="1"/>
    <x v="2"/>
  </r>
  <r>
    <n v="1590"/>
    <d v="2024-03-27T03:26:00"/>
    <x v="0"/>
    <x v="0"/>
    <x v="0"/>
  </r>
  <r>
    <n v="1591"/>
    <d v="2024-03-15T09:50:00"/>
    <x v="0"/>
    <x v="1"/>
    <x v="2"/>
  </r>
  <r>
    <n v="1592"/>
    <d v="2024-03-29T20:01:00"/>
    <x v="1"/>
    <x v="0"/>
    <x v="2"/>
  </r>
  <r>
    <n v="1593"/>
    <d v="2024-03-17T15:16:00"/>
    <x v="0"/>
    <x v="0"/>
    <x v="0"/>
  </r>
  <r>
    <n v="1594"/>
    <d v="2024-03-24T18:36:00"/>
    <x v="0"/>
    <x v="0"/>
    <x v="1"/>
  </r>
  <r>
    <n v="1595"/>
    <d v="2024-01-30T23:03:00"/>
    <x v="1"/>
    <x v="1"/>
    <x v="4"/>
  </r>
  <r>
    <n v="1596"/>
    <d v="2024-03-15T15:10:00"/>
    <x v="0"/>
    <x v="0"/>
    <x v="2"/>
  </r>
  <r>
    <n v="1597"/>
    <d v="2024-03-08T20:46:00"/>
    <x v="1"/>
    <x v="0"/>
    <x v="2"/>
  </r>
  <r>
    <n v="1598"/>
    <d v="2024-03-20T12:09:00"/>
    <x v="0"/>
    <x v="2"/>
    <x v="2"/>
  </r>
  <r>
    <n v="1599"/>
    <d v="2024-03-28T07:02:00"/>
    <x v="0"/>
    <x v="0"/>
    <x v="0"/>
  </r>
  <r>
    <n v="1600"/>
    <d v="2024-03-14T22:07:00"/>
    <x v="0"/>
    <x v="1"/>
    <x v="3"/>
  </r>
  <r>
    <n v="1601"/>
    <d v="2024-01-25T00:28:00"/>
    <x v="0"/>
    <x v="0"/>
    <x v="2"/>
  </r>
  <r>
    <n v="1602"/>
    <d v="2024-02-10T13:09:00"/>
    <x v="0"/>
    <x v="0"/>
    <x v="2"/>
  </r>
  <r>
    <n v="1603"/>
    <d v="2024-02-22T22:13:00"/>
    <x v="0"/>
    <x v="1"/>
    <x v="1"/>
  </r>
  <r>
    <n v="1604"/>
    <d v="2024-02-22T16:49:00"/>
    <x v="0"/>
    <x v="0"/>
    <x v="2"/>
  </r>
  <r>
    <n v="1605"/>
    <d v="2024-03-19T15:55:00"/>
    <x v="0"/>
    <x v="0"/>
    <x v="1"/>
  </r>
  <r>
    <n v="1606"/>
    <d v="2024-01-08T22:08:00"/>
    <x v="0"/>
    <x v="1"/>
    <x v="0"/>
  </r>
  <r>
    <n v="1607"/>
    <d v="2024-03-07T06:35:00"/>
    <x v="0"/>
    <x v="1"/>
    <x v="3"/>
  </r>
  <r>
    <n v="1608"/>
    <d v="2024-02-11T21:30:00"/>
    <x v="0"/>
    <x v="1"/>
    <x v="4"/>
  </r>
  <r>
    <n v="1609"/>
    <d v="2024-03-08T12:20:00"/>
    <x v="0"/>
    <x v="0"/>
    <x v="1"/>
  </r>
  <r>
    <n v="1610"/>
    <d v="2024-01-23T14:58:00"/>
    <x v="1"/>
    <x v="0"/>
    <x v="4"/>
  </r>
  <r>
    <n v="1611"/>
    <d v="2024-03-09T10:34:00"/>
    <x v="0"/>
    <x v="1"/>
    <x v="0"/>
  </r>
  <r>
    <n v="1612"/>
    <d v="2024-02-15T21:49:00"/>
    <x v="1"/>
    <x v="1"/>
    <x v="2"/>
  </r>
  <r>
    <n v="1613"/>
    <d v="2024-03-28T20:51:00"/>
    <x v="1"/>
    <x v="1"/>
    <x v="1"/>
  </r>
  <r>
    <n v="1614"/>
    <d v="2024-03-29T08:39:00"/>
    <x v="0"/>
    <x v="1"/>
    <x v="1"/>
  </r>
  <r>
    <n v="1615"/>
    <d v="2024-03-02T06:15:00"/>
    <x v="1"/>
    <x v="1"/>
    <x v="2"/>
  </r>
  <r>
    <n v="1616"/>
    <d v="2024-02-05T17:19:00"/>
    <x v="1"/>
    <x v="0"/>
    <x v="2"/>
  </r>
  <r>
    <n v="1617"/>
    <d v="2024-01-29T09:49:00"/>
    <x v="0"/>
    <x v="0"/>
    <x v="0"/>
  </r>
  <r>
    <n v="1618"/>
    <d v="2024-02-06T22:13:00"/>
    <x v="0"/>
    <x v="1"/>
    <x v="2"/>
  </r>
  <r>
    <n v="1619"/>
    <d v="2024-03-29T22:31:00"/>
    <x v="1"/>
    <x v="0"/>
    <x v="0"/>
  </r>
  <r>
    <n v="1620"/>
    <d v="2024-02-10T15:22:00"/>
    <x v="1"/>
    <x v="0"/>
    <x v="1"/>
  </r>
  <r>
    <n v="1621"/>
    <d v="2024-03-12T23:17:00"/>
    <x v="0"/>
    <x v="2"/>
    <x v="0"/>
  </r>
  <r>
    <n v="1622"/>
    <d v="2024-02-06T03:36:00"/>
    <x v="0"/>
    <x v="2"/>
    <x v="0"/>
  </r>
  <r>
    <n v="1623"/>
    <d v="2024-03-27T17:24:00"/>
    <x v="0"/>
    <x v="0"/>
    <x v="1"/>
  </r>
  <r>
    <n v="1624"/>
    <d v="2024-02-20T11:49:00"/>
    <x v="0"/>
    <x v="0"/>
    <x v="1"/>
  </r>
  <r>
    <n v="1625"/>
    <d v="2024-01-19T09:02:00"/>
    <x v="1"/>
    <x v="0"/>
    <x v="3"/>
  </r>
  <r>
    <n v="1626"/>
    <d v="2024-02-06T22:05:00"/>
    <x v="0"/>
    <x v="1"/>
    <x v="1"/>
  </r>
  <r>
    <n v="1627"/>
    <d v="2024-02-14T14:41:00"/>
    <x v="0"/>
    <x v="2"/>
    <x v="2"/>
  </r>
  <r>
    <n v="1628"/>
    <d v="2024-02-02T23:30:00"/>
    <x v="1"/>
    <x v="0"/>
    <x v="3"/>
  </r>
  <r>
    <n v="1629"/>
    <d v="2024-01-28T06:52:00"/>
    <x v="0"/>
    <x v="0"/>
    <x v="2"/>
  </r>
  <r>
    <n v="1630"/>
    <d v="2024-03-09T08:59:00"/>
    <x v="0"/>
    <x v="2"/>
    <x v="0"/>
  </r>
  <r>
    <n v="1631"/>
    <d v="2024-03-12T22:17:00"/>
    <x v="1"/>
    <x v="0"/>
    <x v="1"/>
  </r>
  <r>
    <n v="1632"/>
    <d v="2024-01-18T03:39:00"/>
    <x v="1"/>
    <x v="1"/>
    <x v="4"/>
  </r>
  <r>
    <n v="1633"/>
    <d v="2024-03-16T07:15:00"/>
    <x v="0"/>
    <x v="2"/>
    <x v="2"/>
  </r>
  <r>
    <n v="1634"/>
    <d v="2024-01-07T21:57:00"/>
    <x v="1"/>
    <x v="0"/>
    <x v="0"/>
  </r>
  <r>
    <n v="1635"/>
    <d v="2024-03-08T07:40:00"/>
    <x v="0"/>
    <x v="1"/>
    <x v="0"/>
  </r>
  <r>
    <n v="1636"/>
    <d v="2024-01-30T01:06:00"/>
    <x v="0"/>
    <x v="0"/>
    <x v="0"/>
  </r>
  <r>
    <n v="1637"/>
    <d v="2024-02-22T10:45:00"/>
    <x v="1"/>
    <x v="0"/>
    <x v="2"/>
  </r>
  <r>
    <n v="1638"/>
    <d v="2024-03-01T03:43:00"/>
    <x v="0"/>
    <x v="1"/>
    <x v="1"/>
  </r>
  <r>
    <n v="1639"/>
    <d v="2024-01-18T00:35:00"/>
    <x v="0"/>
    <x v="0"/>
    <x v="0"/>
  </r>
  <r>
    <n v="1640"/>
    <d v="2024-01-21T13:41:00"/>
    <x v="0"/>
    <x v="2"/>
    <x v="4"/>
  </r>
  <r>
    <n v="1641"/>
    <d v="2024-03-01T15:41:00"/>
    <x v="0"/>
    <x v="1"/>
    <x v="3"/>
  </r>
  <r>
    <n v="1642"/>
    <d v="2024-01-26T09:20:00"/>
    <x v="0"/>
    <x v="0"/>
    <x v="1"/>
  </r>
  <r>
    <n v="1643"/>
    <d v="2024-02-06T20:03:00"/>
    <x v="0"/>
    <x v="0"/>
    <x v="3"/>
  </r>
  <r>
    <n v="1644"/>
    <d v="2024-01-12T20:36:00"/>
    <x v="0"/>
    <x v="0"/>
    <x v="0"/>
  </r>
  <r>
    <n v="1645"/>
    <d v="2024-01-30T17:47:00"/>
    <x v="0"/>
    <x v="0"/>
    <x v="2"/>
  </r>
  <r>
    <n v="1646"/>
    <d v="2024-01-05T05:26:00"/>
    <x v="1"/>
    <x v="0"/>
    <x v="1"/>
  </r>
  <r>
    <n v="1647"/>
    <d v="2024-01-23T01:53:00"/>
    <x v="1"/>
    <x v="0"/>
    <x v="3"/>
  </r>
  <r>
    <n v="1648"/>
    <d v="2024-02-20T15:11:00"/>
    <x v="1"/>
    <x v="0"/>
    <x v="3"/>
  </r>
  <r>
    <n v="1649"/>
    <d v="2024-02-07T01:00:00"/>
    <x v="1"/>
    <x v="1"/>
    <x v="0"/>
  </r>
  <r>
    <n v="1650"/>
    <d v="2024-02-08T18:38:00"/>
    <x v="0"/>
    <x v="1"/>
    <x v="4"/>
  </r>
  <r>
    <n v="1651"/>
    <d v="2024-01-14T10:18:00"/>
    <x v="0"/>
    <x v="1"/>
    <x v="0"/>
  </r>
  <r>
    <n v="1652"/>
    <d v="2024-02-28T20:34:00"/>
    <x v="1"/>
    <x v="0"/>
    <x v="3"/>
  </r>
  <r>
    <n v="1653"/>
    <d v="2024-03-08T15:56:00"/>
    <x v="1"/>
    <x v="0"/>
    <x v="4"/>
  </r>
  <r>
    <n v="1654"/>
    <d v="2024-01-18T16:29:00"/>
    <x v="1"/>
    <x v="1"/>
    <x v="0"/>
  </r>
  <r>
    <n v="1655"/>
    <d v="2024-02-04T06:51:00"/>
    <x v="0"/>
    <x v="0"/>
    <x v="1"/>
  </r>
  <r>
    <n v="1656"/>
    <d v="2024-01-15T10:10:00"/>
    <x v="0"/>
    <x v="0"/>
    <x v="0"/>
  </r>
  <r>
    <n v="1657"/>
    <d v="2024-02-28T20:16:00"/>
    <x v="0"/>
    <x v="1"/>
    <x v="2"/>
  </r>
  <r>
    <n v="1658"/>
    <d v="2024-01-24T00:47:00"/>
    <x v="0"/>
    <x v="1"/>
    <x v="2"/>
  </r>
  <r>
    <n v="1659"/>
    <d v="2024-02-13T09:36:00"/>
    <x v="1"/>
    <x v="1"/>
    <x v="1"/>
  </r>
  <r>
    <n v="1660"/>
    <d v="2024-03-27T06:11:00"/>
    <x v="1"/>
    <x v="0"/>
    <x v="4"/>
  </r>
  <r>
    <n v="1661"/>
    <d v="2024-03-19T20:57:00"/>
    <x v="0"/>
    <x v="1"/>
    <x v="1"/>
  </r>
  <r>
    <n v="1662"/>
    <d v="2024-02-21T13:32:00"/>
    <x v="1"/>
    <x v="1"/>
    <x v="2"/>
  </r>
  <r>
    <n v="1663"/>
    <d v="2024-02-11T02:25:00"/>
    <x v="1"/>
    <x v="1"/>
    <x v="3"/>
  </r>
  <r>
    <n v="1664"/>
    <d v="2024-03-26T03:11:00"/>
    <x v="0"/>
    <x v="1"/>
    <x v="4"/>
  </r>
  <r>
    <n v="1665"/>
    <d v="2024-01-18T15:20:00"/>
    <x v="0"/>
    <x v="1"/>
    <x v="0"/>
  </r>
  <r>
    <n v="1666"/>
    <d v="2024-02-01T00:16:00"/>
    <x v="0"/>
    <x v="1"/>
    <x v="4"/>
  </r>
  <r>
    <n v="1667"/>
    <d v="2024-02-19T07:28:00"/>
    <x v="0"/>
    <x v="0"/>
    <x v="0"/>
  </r>
  <r>
    <n v="1668"/>
    <d v="2024-02-04T10:19:00"/>
    <x v="0"/>
    <x v="1"/>
    <x v="3"/>
  </r>
  <r>
    <n v="1669"/>
    <d v="2024-03-15T23:36:00"/>
    <x v="0"/>
    <x v="1"/>
    <x v="0"/>
  </r>
  <r>
    <n v="1670"/>
    <d v="2024-01-02T08:41:00"/>
    <x v="0"/>
    <x v="1"/>
    <x v="0"/>
  </r>
  <r>
    <n v="1671"/>
    <d v="2024-02-16T22:15:00"/>
    <x v="0"/>
    <x v="0"/>
    <x v="2"/>
  </r>
  <r>
    <n v="1672"/>
    <d v="2024-01-08T21:07:00"/>
    <x v="1"/>
    <x v="0"/>
    <x v="1"/>
  </r>
  <r>
    <n v="1673"/>
    <d v="2024-02-29T09:10:00"/>
    <x v="0"/>
    <x v="2"/>
    <x v="2"/>
  </r>
  <r>
    <n v="1674"/>
    <d v="2024-02-21T21:32:00"/>
    <x v="1"/>
    <x v="1"/>
    <x v="0"/>
  </r>
  <r>
    <n v="1675"/>
    <d v="2024-02-09T22:07:00"/>
    <x v="0"/>
    <x v="2"/>
    <x v="1"/>
  </r>
  <r>
    <n v="1676"/>
    <d v="2024-03-22T09:23:00"/>
    <x v="1"/>
    <x v="1"/>
    <x v="4"/>
  </r>
  <r>
    <n v="1677"/>
    <d v="2024-03-19T07:14:00"/>
    <x v="0"/>
    <x v="1"/>
    <x v="2"/>
  </r>
  <r>
    <n v="1678"/>
    <d v="2024-01-18T15:09:00"/>
    <x v="0"/>
    <x v="1"/>
    <x v="0"/>
  </r>
  <r>
    <n v="1679"/>
    <d v="2024-02-28T23:38:00"/>
    <x v="1"/>
    <x v="2"/>
    <x v="2"/>
  </r>
  <r>
    <n v="1680"/>
    <d v="2024-02-17T13:44:00"/>
    <x v="1"/>
    <x v="1"/>
    <x v="0"/>
  </r>
  <r>
    <n v="1681"/>
    <d v="2024-03-11T15:48:00"/>
    <x v="1"/>
    <x v="1"/>
    <x v="3"/>
  </r>
  <r>
    <n v="1682"/>
    <d v="2024-03-09T21:52:00"/>
    <x v="0"/>
    <x v="0"/>
    <x v="3"/>
  </r>
  <r>
    <n v="1683"/>
    <d v="2024-01-28T07:43:00"/>
    <x v="0"/>
    <x v="0"/>
    <x v="1"/>
  </r>
  <r>
    <n v="1684"/>
    <d v="2024-03-17T02:33:00"/>
    <x v="1"/>
    <x v="1"/>
    <x v="2"/>
  </r>
  <r>
    <n v="1685"/>
    <d v="2024-02-27T16:45:00"/>
    <x v="1"/>
    <x v="0"/>
    <x v="3"/>
  </r>
  <r>
    <n v="1686"/>
    <d v="2024-02-16T02:58:00"/>
    <x v="1"/>
    <x v="0"/>
    <x v="1"/>
  </r>
  <r>
    <n v="1687"/>
    <d v="2024-03-13T03:03:00"/>
    <x v="1"/>
    <x v="0"/>
    <x v="3"/>
  </r>
  <r>
    <n v="1688"/>
    <d v="2024-03-11T16:12:00"/>
    <x v="0"/>
    <x v="0"/>
    <x v="1"/>
  </r>
  <r>
    <n v="1689"/>
    <d v="2024-03-14T17:09:00"/>
    <x v="1"/>
    <x v="0"/>
    <x v="3"/>
  </r>
  <r>
    <n v="1690"/>
    <d v="2024-01-22T10:54:00"/>
    <x v="0"/>
    <x v="0"/>
    <x v="1"/>
  </r>
  <r>
    <n v="1691"/>
    <d v="2024-03-07T14:07:00"/>
    <x v="0"/>
    <x v="2"/>
    <x v="2"/>
  </r>
  <r>
    <n v="1692"/>
    <d v="2024-03-28T06:45:00"/>
    <x v="0"/>
    <x v="1"/>
    <x v="4"/>
  </r>
  <r>
    <n v="1693"/>
    <d v="2024-03-15T15:05:00"/>
    <x v="0"/>
    <x v="0"/>
    <x v="2"/>
  </r>
  <r>
    <n v="1694"/>
    <d v="2024-03-06T14:51:00"/>
    <x v="0"/>
    <x v="0"/>
    <x v="1"/>
  </r>
  <r>
    <n v="1695"/>
    <d v="2024-01-08T14:08:00"/>
    <x v="0"/>
    <x v="1"/>
    <x v="0"/>
  </r>
  <r>
    <n v="1696"/>
    <d v="2024-03-06T13:29:00"/>
    <x v="1"/>
    <x v="0"/>
    <x v="1"/>
  </r>
  <r>
    <n v="1697"/>
    <d v="2024-03-13T01:35:00"/>
    <x v="0"/>
    <x v="1"/>
    <x v="1"/>
  </r>
  <r>
    <n v="1698"/>
    <d v="2024-02-29T21:51:00"/>
    <x v="1"/>
    <x v="1"/>
    <x v="0"/>
  </r>
  <r>
    <n v="1699"/>
    <d v="2024-02-09T23:01:00"/>
    <x v="0"/>
    <x v="1"/>
    <x v="0"/>
  </r>
  <r>
    <n v="1700"/>
    <d v="2024-02-20T08:52:00"/>
    <x v="0"/>
    <x v="0"/>
    <x v="1"/>
  </r>
  <r>
    <n v="1701"/>
    <d v="2024-01-01T23:13:00"/>
    <x v="1"/>
    <x v="1"/>
    <x v="3"/>
  </r>
  <r>
    <n v="1702"/>
    <d v="2024-03-15T02:02:00"/>
    <x v="0"/>
    <x v="0"/>
    <x v="2"/>
  </r>
  <r>
    <n v="1703"/>
    <d v="2024-02-24T11:44:00"/>
    <x v="0"/>
    <x v="2"/>
    <x v="0"/>
  </r>
  <r>
    <n v="1704"/>
    <d v="2024-01-09T17:03:00"/>
    <x v="0"/>
    <x v="1"/>
    <x v="1"/>
  </r>
  <r>
    <n v="1705"/>
    <d v="2024-01-09T15:02:00"/>
    <x v="0"/>
    <x v="0"/>
    <x v="0"/>
  </r>
  <r>
    <n v="1706"/>
    <d v="2024-02-06T13:11:00"/>
    <x v="1"/>
    <x v="0"/>
    <x v="2"/>
  </r>
  <r>
    <n v="1707"/>
    <d v="2024-01-18T20:46:00"/>
    <x v="0"/>
    <x v="0"/>
    <x v="0"/>
  </r>
  <r>
    <n v="1708"/>
    <d v="2024-03-23T13:23:00"/>
    <x v="1"/>
    <x v="1"/>
    <x v="0"/>
  </r>
  <r>
    <n v="1709"/>
    <d v="2024-02-18T14:55:00"/>
    <x v="0"/>
    <x v="0"/>
    <x v="0"/>
  </r>
  <r>
    <n v="1710"/>
    <d v="2024-02-18T12:05:00"/>
    <x v="1"/>
    <x v="1"/>
    <x v="2"/>
  </r>
  <r>
    <n v="1711"/>
    <d v="2024-03-28T21:55:00"/>
    <x v="1"/>
    <x v="0"/>
    <x v="0"/>
  </r>
  <r>
    <n v="1712"/>
    <d v="2024-03-10T04:41:00"/>
    <x v="1"/>
    <x v="1"/>
    <x v="2"/>
  </r>
  <r>
    <n v="1713"/>
    <d v="2024-02-14T03:11:00"/>
    <x v="0"/>
    <x v="1"/>
    <x v="2"/>
  </r>
  <r>
    <n v="1714"/>
    <d v="2024-03-09T12:33:00"/>
    <x v="0"/>
    <x v="1"/>
    <x v="2"/>
  </r>
  <r>
    <n v="1715"/>
    <d v="2024-01-17T23:14:00"/>
    <x v="0"/>
    <x v="1"/>
    <x v="2"/>
  </r>
  <r>
    <n v="1716"/>
    <d v="2024-01-01T00:19:00"/>
    <x v="1"/>
    <x v="0"/>
    <x v="3"/>
  </r>
  <r>
    <n v="1717"/>
    <d v="2024-02-29T21:46:00"/>
    <x v="1"/>
    <x v="0"/>
    <x v="0"/>
  </r>
  <r>
    <n v="1718"/>
    <d v="2024-03-10T13:34:00"/>
    <x v="1"/>
    <x v="1"/>
    <x v="2"/>
  </r>
  <r>
    <n v="1719"/>
    <d v="2024-02-18T07:15:00"/>
    <x v="0"/>
    <x v="0"/>
    <x v="0"/>
  </r>
  <r>
    <n v="1720"/>
    <d v="2024-02-28T11:09:00"/>
    <x v="1"/>
    <x v="0"/>
    <x v="0"/>
  </r>
  <r>
    <n v="1721"/>
    <d v="2024-02-05T06:59:00"/>
    <x v="1"/>
    <x v="0"/>
    <x v="1"/>
  </r>
  <r>
    <n v="1722"/>
    <d v="2024-01-15T01:51:00"/>
    <x v="0"/>
    <x v="0"/>
    <x v="1"/>
  </r>
  <r>
    <n v="1723"/>
    <d v="2024-03-25T13:39:00"/>
    <x v="0"/>
    <x v="0"/>
    <x v="3"/>
  </r>
  <r>
    <n v="1724"/>
    <d v="2024-01-03T07:13:00"/>
    <x v="1"/>
    <x v="2"/>
    <x v="1"/>
  </r>
  <r>
    <n v="1725"/>
    <d v="2024-01-09T03:38:00"/>
    <x v="1"/>
    <x v="0"/>
    <x v="4"/>
  </r>
  <r>
    <n v="1726"/>
    <d v="2024-01-05T14:38:00"/>
    <x v="1"/>
    <x v="1"/>
    <x v="0"/>
  </r>
  <r>
    <n v="1727"/>
    <d v="2024-03-27T22:55:00"/>
    <x v="0"/>
    <x v="0"/>
    <x v="0"/>
  </r>
  <r>
    <n v="1728"/>
    <d v="2024-01-07T07:47:00"/>
    <x v="1"/>
    <x v="1"/>
    <x v="0"/>
  </r>
  <r>
    <n v="1729"/>
    <d v="2024-01-06T12:28:00"/>
    <x v="0"/>
    <x v="0"/>
    <x v="0"/>
  </r>
  <r>
    <n v="1730"/>
    <d v="2024-01-30T17:13:00"/>
    <x v="0"/>
    <x v="2"/>
    <x v="2"/>
  </r>
  <r>
    <n v="1731"/>
    <d v="2024-01-08T04:32:00"/>
    <x v="0"/>
    <x v="2"/>
    <x v="1"/>
  </r>
  <r>
    <n v="1732"/>
    <d v="2024-02-07T07:52:00"/>
    <x v="1"/>
    <x v="0"/>
    <x v="0"/>
  </r>
  <r>
    <n v="1733"/>
    <d v="2024-03-14T10:36:00"/>
    <x v="1"/>
    <x v="2"/>
    <x v="4"/>
  </r>
  <r>
    <n v="1734"/>
    <d v="2024-03-17T21:52:00"/>
    <x v="1"/>
    <x v="2"/>
    <x v="3"/>
  </r>
  <r>
    <n v="1735"/>
    <d v="2024-02-11T07:19:00"/>
    <x v="0"/>
    <x v="1"/>
    <x v="0"/>
  </r>
  <r>
    <n v="1736"/>
    <d v="2024-01-19T21:33:00"/>
    <x v="1"/>
    <x v="1"/>
    <x v="0"/>
  </r>
  <r>
    <n v="1737"/>
    <d v="2024-01-29T13:19:00"/>
    <x v="0"/>
    <x v="0"/>
    <x v="0"/>
  </r>
  <r>
    <n v="1738"/>
    <d v="2024-02-05T01:35:00"/>
    <x v="1"/>
    <x v="1"/>
    <x v="0"/>
  </r>
  <r>
    <n v="1739"/>
    <d v="2024-03-16T23:58:00"/>
    <x v="0"/>
    <x v="0"/>
    <x v="0"/>
  </r>
  <r>
    <n v="1740"/>
    <d v="2024-01-23T20:43:00"/>
    <x v="0"/>
    <x v="0"/>
    <x v="2"/>
  </r>
  <r>
    <n v="1741"/>
    <d v="2024-02-24T17:31:00"/>
    <x v="0"/>
    <x v="2"/>
    <x v="0"/>
  </r>
  <r>
    <n v="1742"/>
    <d v="2024-01-07T11:41:00"/>
    <x v="0"/>
    <x v="0"/>
    <x v="2"/>
  </r>
  <r>
    <n v="1743"/>
    <d v="2024-03-26T12:50:00"/>
    <x v="1"/>
    <x v="1"/>
    <x v="4"/>
  </r>
  <r>
    <n v="1744"/>
    <d v="2024-03-08T10:44:00"/>
    <x v="0"/>
    <x v="1"/>
    <x v="1"/>
  </r>
  <r>
    <n v="1745"/>
    <d v="2024-02-23T13:09:00"/>
    <x v="0"/>
    <x v="2"/>
    <x v="4"/>
  </r>
  <r>
    <n v="1746"/>
    <d v="2024-02-08T12:11:00"/>
    <x v="1"/>
    <x v="2"/>
    <x v="0"/>
  </r>
  <r>
    <n v="1747"/>
    <d v="2024-03-09T15:15:00"/>
    <x v="0"/>
    <x v="0"/>
    <x v="2"/>
  </r>
  <r>
    <n v="1748"/>
    <d v="2024-01-29T09:54:00"/>
    <x v="1"/>
    <x v="0"/>
    <x v="1"/>
  </r>
  <r>
    <n v="1749"/>
    <d v="2024-01-19T14:58:00"/>
    <x v="1"/>
    <x v="0"/>
    <x v="0"/>
  </r>
  <r>
    <n v="1750"/>
    <d v="2024-01-08T17:26:00"/>
    <x v="1"/>
    <x v="0"/>
    <x v="0"/>
  </r>
  <r>
    <n v="1751"/>
    <d v="2024-02-23T17:33:00"/>
    <x v="0"/>
    <x v="0"/>
    <x v="1"/>
  </r>
  <r>
    <n v="1752"/>
    <d v="2024-01-18T12:15:00"/>
    <x v="1"/>
    <x v="0"/>
    <x v="1"/>
  </r>
  <r>
    <n v="1753"/>
    <d v="2024-02-02T06:21:00"/>
    <x v="1"/>
    <x v="1"/>
    <x v="2"/>
  </r>
  <r>
    <n v="1754"/>
    <d v="2024-03-23T02:59:00"/>
    <x v="0"/>
    <x v="1"/>
    <x v="2"/>
  </r>
  <r>
    <n v="1755"/>
    <d v="2024-02-27T11:05:00"/>
    <x v="0"/>
    <x v="0"/>
    <x v="2"/>
  </r>
  <r>
    <n v="1756"/>
    <d v="2024-03-09T23:53:00"/>
    <x v="1"/>
    <x v="1"/>
    <x v="0"/>
  </r>
  <r>
    <n v="1757"/>
    <d v="2024-01-25T01:17:00"/>
    <x v="1"/>
    <x v="0"/>
    <x v="2"/>
  </r>
  <r>
    <n v="1758"/>
    <d v="2024-02-18T21:38:00"/>
    <x v="1"/>
    <x v="0"/>
    <x v="0"/>
  </r>
  <r>
    <n v="1759"/>
    <d v="2024-03-18T01:55:00"/>
    <x v="1"/>
    <x v="1"/>
    <x v="0"/>
  </r>
  <r>
    <n v="1760"/>
    <d v="2024-01-10T06:51:00"/>
    <x v="1"/>
    <x v="1"/>
    <x v="4"/>
  </r>
  <r>
    <n v="1761"/>
    <d v="2024-03-16T23:42:00"/>
    <x v="0"/>
    <x v="1"/>
    <x v="1"/>
  </r>
  <r>
    <n v="1762"/>
    <d v="2024-03-12T06:30:00"/>
    <x v="0"/>
    <x v="0"/>
    <x v="1"/>
  </r>
  <r>
    <n v="1763"/>
    <d v="2024-01-27T10:19:00"/>
    <x v="0"/>
    <x v="1"/>
    <x v="2"/>
  </r>
  <r>
    <n v="1764"/>
    <d v="2024-01-02T06:59:00"/>
    <x v="1"/>
    <x v="1"/>
    <x v="2"/>
  </r>
  <r>
    <n v="1765"/>
    <d v="2024-01-25T23:07:00"/>
    <x v="0"/>
    <x v="1"/>
    <x v="0"/>
  </r>
  <r>
    <n v="1766"/>
    <d v="2024-03-02T07:44:00"/>
    <x v="1"/>
    <x v="1"/>
    <x v="0"/>
  </r>
  <r>
    <n v="1767"/>
    <d v="2024-03-18T22:13:00"/>
    <x v="1"/>
    <x v="2"/>
    <x v="0"/>
  </r>
  <r>
    <n v="1768"/>
    <d v="2024-02-20T07:35:00"/>
    <x v="1"/>
    <x v="1"/>
    <x v="3"/>
  </r>
  <r>
    <n v="1769"/>
    <d v="2024-02-11T09:24:00"/>
    <x v="0"/>
    <x v="1"/>
    <x v="1"/>
  </r>
  <r>
    <n v="1770"/>
    <d v="2024-02-29T17:41:00"/>
    <x v="1"/>
    <x v="2"/>
    <x v="2"/>
  </r>
  <r>
    <n v="1771"/>
    <d v="2024-02-15T09:16:00"/>
    <x v="0"/>
    <x v="1"/>
    <x v="2"/>
  </r>
  <r>
    <n v="1772"/>
    <d v="2024-02-16T16:56:00"/>
    <x v="1"/>
    <x v="0"/>
    <x v="4"/>
  </r>
  <r>
    <n v="1773"/>
    <d v="2024-03-04T14:06:00"/>
    <x v="0"/>
    <x v="1"/>
    <x v="0"/>
  </r>
  <r>
    <n v="1774"/>
    <d v="2024-03-01T10:58:00"/>
    <x v="0"/>
    <x v="0"/>
    <x v="0"/>
  </r>
  <r>
    <n v="1775"/>
    <d v="2024-01-27T11:20:00"/>
    <x v="1"/>
    <x v="0"/>
    <x v="2"/>
  </r>
  <r>
    <n v="1776"/>
    <d v="2024-02-22T01:36:00"/>
    <x v="0"/>
    <x v="1"/>
    <x v="3"/>
  </r>
  <r>
    <n v="1777"/>
    <d v="2024-01-29T23:09:00"/>
    <x v="0"/>
    <x v="2"/>
    <x v="4"/>
  </r>
  <r>
    <n v="1778"/>
    <d v="2024-01-03T08:35:00"/>
    <x v="1"/>
    <x v="2"/>
    <x v="0"/>
  </r>
  <r>
    <n v="1779"/>
    <d v="2024-03-15T18:46:00"/>
    <x v="1"/>
    <x v="0"/>
    <x v="3"/>
  </r>
  <r>
    <n v="1780"/>
    <d v="2024-02-23T09:09:00"/>
    <x v="1"/>
    <x v="1"/>
    <x v="3"/>
  </r>
  <r>
    <n v="1781"/>
    <d v="2024-01-26T10:14:00"/>
    <x v="1"/>
    <x v="0"/>
    <x v="0"/>
  </r>
  <r>
    <n v="1782"/>
    <d v="2024-02-18T18:53:00"/>
    <x v="1"/>
    <x v="2"/>
    <x v="2"/>
  </r>
  <r>
    <n v="1783"/>
    <d v="2024-02-01T15:35:00"/>
    <x v="0"/>
    <x v="2"/>
    <x v="2"/>
  </r>
  <r>
    <n v="1784"/>
    <d v="2024-03-24T21:21:00"/>
    <x v="0"/>
    <x v="1"/>
    <x v="4"/>
  </r>
  <r>
    <n v="1785"/>
    <d v="2024-02-02T15:46:00"/>
    <x v="0"/>
    <x v="1"/>
    <x v="0"/>
  </r>
  <r>
    <n v="1786"/>
    <d v="2024-03-23T23:31:00"/>
    <x v="1"/>
    <x v="1"/>
    <x v="3"/>
  </r>
  <r>
    <n v="1787"/>
    <d v="2024-02-28T05:46:00"/>
    <x v="1"/>
    <x v="1"/>
    <x v="2"/>
  </r>
  <r>
    <n v="1788"/>
    <d v="2024-02-15T05:08:00"/>
    <x v="0"/>
    <x v="0"/>
    <x v="1"/>
  </r>
  <r>
    <n v="1789"/>
    <d v="2024-03-10T15:11:00"/>
    <x v="0"/>
    <x v="0"/>
    <x v="2"/>
  </r>
  <r>
    <n v="1790"/>
    <d v="2024-03-10T20:03:00"/>
    <x v="1"/>
    <x v="1"/>
    <x v="1"/>
  </r>
  <r>
    <n v="1791"/>
    <d v="2024-03-08T01:53:00"/>
    <x v="0"/>
    <x v="1"/>
    <x v="3"/>
  </r>
  <r>
    <n v="1792"/>
    <d v="2024-01-10T21:03:00"/>
    <x v="1"/>
    <x v="0"/>
    <x v="3"/>
  </r>
  <r>
    <n v="1793"/>
    <d v="2024-01-01T13:08:00"/>
    <x v="0"/>
    <x v="2"/>
    <x v="3"/>
  </r>
  <r>
    <n v="1794"/>
    <d v="2024-03-21T07:04:00"/>
    <x v="1"/>
    <x v="0"/>
    <x v="0"/>
  </r>
  <r>
    <n v="1795"/>
    <d v="2024-01-20T00:13:00"/>
    <x v="0"/>
    <x v="1"/>
    <x v="1"/>
  </r>
  <r>
    <n v="1796"/>
    <d v="2024-03-05T14:23:00"/>
    <x v="1"/>
    <x v="1"/>
    <x v="0"/>
  </r>
  <r>
    <n v="1797"/>
    <d v="2024-01-08T19:40:00"/>
    <x v="1"/>
    <x v="1"/>
    <x v="2"/>
  </r>
  <r>
    <n v="1798"/>
    <d v="2024-03-26T19:58:00"/>
    <x v="1"/>
    <x v="1"/>
    <x v="2"/>
  </r>
  <r>
    <n v="1799"/>
    <d v="2024-03-02T21:31:00"/>
    <x v="1"/>
    <x v="0"/>
    <x v="2"/>
  </r>
  <r>
    <n v="1800"/>
    <d v="2024-01-03T00:34:00"/>
    <x v="1"/>
    <x v="0"/>
    <x v="2"/>
  </r>
  <r>
    <n v="1801"/>
    <d v="2024-03-11T13:00:00"/>
    <x v="1"/>
    <x v="1"/>
    <x v="4"/>
  </r>
  <r>
    <n v="1802"/>
    <d v="2024-01-03T16:46:00"/>
    <x v="0"/>
    <x v="1"/>
    <x v="0"/>
  </r>
  <r>
    <n v="1803"/>
    <d v="2024-02-05T17:18:00"/>
    <x v="1"/>
    <x v="0"/>
    <x v="1"/>
  </r>
  <r>
    <n v="1804"/>
    <d v="2024-01-03T16:52:00"/>
    <x v="1"/>
    <x v="1"/>
    <x v="2"/>
  </r>
  <r>
    <n v="1805"/>
    <d v="2024-03-30T21:27:00"/>
    <x v="0"/>
    <x v="0"/>
    <x v="0"/>
  </r>
  <r>
    <n v="1806"/>
    <d v="2024-01-23T03:58:00"/>
    <x v="1"/>
    <x v="1"/>
    <x v="0"/>
  </r>
  <r>
    <n v="1807"/>
    <d v="2024-01-13T16:09:00"/>
    <x v="1"/>
    <x v="1"/>
    <x v="4"/>
  </r>
  <r>
    <n v="1808"/>
    <d v="2024-01-31T06:39:00"/>
    <x v="1"/>
    <x v="0"/>
    <x v="3"/>
  </r>
  <r>
    <n v="1809"/>
    <d v="2024-03-08T08:52:00"/>
    <x v="0"/>
    <x v="0"/>
    <x v="4"/>
  </r>
  <r>
    <n v="1810"/>
    <d v="2024-02-15T08:50:00"/>
    <x v="0"/>
    <x v="1"/>
    <x v="4"/>
  </r>
  <r>
    <n v="1811"/>
    <d v="2024-02-20T02:23:00"/>
    <x v="1"/>
    <x v="1"/>
    <x v="0"/>
  </r>
  <r>
    <n v="1812"/>
    <d v="2024-02-21T14:36:00"/>
    <x v="1"/>
    <x v="1"/>
    <x v="2"/>
  </r>
  <r>
    <n v="1813"/>
    <d v="2024-02-01T22:14:00"/>
    <x v="0"/>
    <x v="1"/>
    <x v="1"/>
  </r>
  <r>
    <n v="1814"/>
    <d v="2024-02-08T21:52:00"/>
    <x v="1"/>
    <x v="1"/>
    <x v="2"/>
  </r>
  <r>
    <n v="1815"/>
    <d v="2024-01-11T20:54:00"/>
    <x v="1"/>
    <x v="2"/>
    <x v="2"/>
  </r>
  <r>
    <n v="1816"/>
    <d v="2024-03-24T01:05:00"/>
    <x v="0"/>
    <x v="1"/>
    <x v="2"/>
  </r>
  <r>
    <n v="1817"/>
    <d v="2024-02-21T12:24:00"/>
    <x v="1"/>
    <x v="0"/>
    <x v="1"/>
  </r>
  <r>
    <n v="1818"/>
    <d v="2024-03-11T15:03:00"/>
    <x v="0"/>
    <x v="0"/>
    <x v="1"/>
  </r>
  <r>
    <n v="1819"/>
    <d v="2024-03-22T00:44:00"/>
    <x v="0"/>
    <x v="0"/>
    <x v="0"/>
  </r>
  <r>
    <n v="1820"/>
    <d v="2024-01-22T02:31:00"/>
    <x v="0"/>
    <x v="1"/>
    <x v="2"/>
  </r>
  <r>
    <n v="1821"/>
    <d v="2024-02-25T20:50:00"/>
    <x v="1"/>
    <x v="0"/>
    <x v="1"/>
  </r>
  <r>
    <n v="1822"/>
    <d v="2024-02-12T18:54:00"/>
    <x v="0"/>
    <x v="2"/>
    <x v="1"/>
  </r>
  <r>
    <n v="1823"/>
    <d v="2024-01-13T16:58:00"/>
    <x v="0"/>
    <x v="1"/>
    <x v="0"/>
  </r>
  <r>
    <n v="1824"/>
    <d v="2024-01-06T07:13:00"/>
    <x v="0"/>
    <x v="1"/>
    <x v="1"/>
  </r>
  <r>
    <n v="1825"/>
    <d v="2024-03-29T18:30:00"/>
    <x v="1"/>
    <x v="0"/>
    <x v="0"/>
  </r>
  <r>
    <n v="1826"/>
    <d v="2024-02-04T01:59:00"/>
    <x v="1"/>
    <x v="0"/>
    <x v="2"/>
  </r>
  <r>
    <n v="1827"/>
    <d v="2024-01-10T21:59:00"/>
    <x v="0"/>
    <x v="0"/>
    <x v="3"/>
  </r>
  <r>
    <n v="1828"/>
    <d v="2024-02-05T17:36:00"/>
    <x v="0"/>
    <x v="0"/>
    <x v="1"/>
  </r>
  <r>
    <n v="1829"/>
    <d v="2024-03-25T01:11:00"/>
    <x v="1"/>
    <x v="0"/>
    <x v="0"/>
  </r>
  <r>
    <n v="1830"/>
    <d v="2024-02-10T00:13:00"/>
    <x v="0"/>
    <x v="1"/>
    <x v="1"/>
  </r>
  <r>
    <n v="1831"/>
    <d v="2024-03-16T04:48:00"/>
    <x v="0"/>
    <x v="2"/>
    <x v="1"/>
  </r>
  <r>
    <n v="1832"/>
    <d v="2024-02-20T02:19:00"/>
    <x v="0"/>
    <x v="2"/>
    <x v="3"/>
  </r>
  <r>
    <n v="1833"/>
    <d v="2024-01-21T18:15:00"/>
    <x v="0"/>
    <x v="1"/>
    <x v="1"/>
  </r>
  <r>
    <n v="1834"/>
    <d v="2024-03-13T12:43:00"/>
    <x v="0"/>
    <x v="0"/>
    <x v="1"/>
  </r>
  <r>
    <n v="1835"/>
    <d v="2024-03-10T10:24:00"/>
    <x v="0"/>
    <x v="2"/>
    <x v="2"/>
  </r>
  <r>
    <n v="1836"/>
    <d v="2024-01-18T22:46:00"/>
    <x v="0"/>
    <x v="2"/>
    <x v="0"/>
  </r>
  <r>
    <n v="1837"/>
    <d v="2024-01-11T16:47:00"/>
    <x v="1"/>
    <x v="0"/>
    <x v="0"/>
  </r>
  <r>
    <n v="1838"/>
    <d v="2024-02-14T01:06:00"/>
    <x v="0"/>
    <x v="1"/>
    <x v="2"/>
  </r>
  <r>
    <n v="1839"/>
    <d v="2024-02-25T07:53:00"/>
    <x v="1"/>
    <x v="0"/>
    <x v="1"/>
  </r>
  <r>
    <n v="1840"/>
    <d v="2024-01-10T10:38:00"/>
    <x v="1"/>
    <x v="1"/>
    <x v="2"/>
  </r>
  <r>
    <n v="1841"/>
    <d v="2024-03-19T19:25:00"/>
    <x v="0"/>
    <x v="2"/>
    <x v="0"/>
  </r>
  <r>
    <n v="1842"/>
    <d v="2024-02-11T00:40:00"/>
    <x v="1"/>
    <x v="0"/>
    <x v="0"/>
  </r>
  <r>
    <n v="1843"/>
    <d v="2024-02-04T14:31:00"/>
    <x v="0"/>
    <x v="2"/>
    <x v="2"/>
  </r>
  <r>
    <n v="1844"/>
    <d v="2024-01-30T11:35:00"/>
    <x v="1"/>
    <x v="1"/>
    <x v="0"/>
  </r>
  <r>
    <n v="1845"/>
    <d v="2024-02-18T13:11:00"/>
    <x v="0"/>
    <x v="2"/>
    <x v="1"/>
  </r>
  <r>
    <n v="1846"/>
    <d v="2024-03-28T18:42:00"/>
    <x v="0"/>
    <x v="0"/>
    <x v="0"/>
  </r>
  <r>
    <n v="1847"/>
    <d v="2024-02-18T02:49:00"/>
    <x v="0"/>
    <x v="1"/>
    <x v="1"/>
  </r>
  <r>
    <n v="1848"/>
    <d v="2024-03-20T09:51:00"/>
    <x v="1"/>
    <x v="0"/>
    <x v="4"/>
  </r>
  <r>
    <n v="1849"/>
    <d v="2024-02-01T22:04:00"/>
    <x v="0"/>
    <x v="0"/>
    <x v="0"/>
  </r>
  <r>
    <n v="1850"/>
    <d v="2024-01-11T08:09:00"/>
    <x v="1"/>
    <x v="0"/>
    <x v="2"/>
  </r>
  <r>
    <n v="1851"/>
    <d v="2024-02-18T22:50:00"/>
    <x v="0"/>
    <x v="2"/>
    <x v="0"/>
  </r>
  <r>
    <n v="1852"/>
    <d v="2024-03-22T04:47:00"/>
    <x v="1"/>
    <x v="1"/>
    <x v="1"/>
  </r>
  <r>
    <n v="1853"/>
    <d v="2024-02-19T10:23:00"/>
    <x v="0"/>
    <x v="2"/>
    <x v="1"/>
  </r>
  <r>
    <n v="1854"/>
    <d v="2024-01-14T02:00:00"/>
    <x v="1"/>
    <x v="2"/>
    <x v="2"/>
  </r>
  <r>
    <n v="1855"/>
    <d v="2024-02-09T14:23:00"/>
    <x v="0"/>
    <x v="0"/>
    <x v="2"/>
  </r>
  <r>
    <n v="1856"/>
    <d v="2024-02-04T03:08:00"/>
    <x v="0"/>
    <x v="0"/>
    <x v="3"/>
  </r>
  <r>
    <n v="1857"/>
    <d v="2024-01-12T05:27:00"/>
    <x v="0"/>
    <x v="0"/>
    <x v="0"/>
  </r>
  <r>
    <n v="1858"/>
    <d v="2024-02-27T17:35:00"/>
    <x v="0"/>
    <x v="0"/>
    <x v="0"/>
  </r>
  <r>
    <n v="1859"/>
    <d v="2024-03-06T13:06:00"/>
    <x v="1"/>
    <x v="0"/>
    <x v="3"/>
  </r>
  <r>
    <n v="1860"/>
    <d v="2024-01-04T02:22:00"/>
    <x v="0"/>
    <x v="0"/>
    <x v="1"/>
  </r>
  <r>
    <n v="1861"/>
    <d v="2024-03-11T02:38:00"/>
    <x v="1"/>
    <x v="0"/>
    <x v="3"/>
  </r>
  <r>
    <n v="1862"/>
    <d v="2024-03-17T10:55:00"/>
    <x v="0"/>
    <x v="0"/>
    <x v="1"/>
  </r>
  <r>
    <n v="1863"/>
    <d v="2024-02-19T00:18:00"/>
    <x v="1"/>
    <x v="0"/>
    <x v="3"/>
  </r>
  <r>
    <n v="1864"/>
    <d v="2024-02-22T12:49:00"/>
    <x v="0"/>
    <x v="0"/>
    <x v="2"/>
  </r>
  <r>
    <n v="1865"/>
    <d v="2024-01-11T23:57:00"/>
    <x v="0"/>
    <x v="2"/>
    <x v="1"/>
  </r>
  <r>
    <n v="1866"/>
    <d v="2024-03-12T07:36:00"/>
    <x v="1"/>
    <x v="1"/>
    <x v="4"/>
  </r>
  <r>
    <n v="1867"/>
    <d v="2024-03-07T05:43:00"/>
    <x v="0"/>
    <x v="2"/>
    <x v="1"/>
  </r>
  <r>
    <n v="1868"/>
    <d v="2024-02-18T05:08:00"/>
    <x v="0"/>
    <x v="0"/>
    <x v="0"/>
  </r>
  <r>
    <n v="1869"/>
    <d v="2024-02-04T09:17:00"/>
    <x v="1"/>
    <x v="0"/>
    <x v="0"/>
  </r>
  <r>
    <n v="1870"/>
    <d v="2024-03-04T04:04:00"/>
    <x v="1"/>
    <x v="1"/>
    <x v="0"/>
  </r>
  <r>
    <n v="1871"/>
    <d v="2024-01-22T13:17:00"/>
    <x v="0"/>
    <x v="0"/>
    <x v="0"/>
  </r>
  <r>
    <n v="1872"/>
    <d v="2024-02-23T09:30:00"/>
    <x v="0"/>
    <x v="0"/>
    <x v="2"/>
  </r>
  <r>
    <n v="1873"/>
    <d v="2024-01-10T11:16:00"/>
    <x v="1"/>
    <x v="0"/>
    <x v="1"/>
  </r>
  <r>
    <n v="1874"/>
    <d v="2024-02-01T23:40:00"/>
    <x v="0"/>
    <x v="0"/>
    <x v="1"/>
  </r>
  <r>
    <n v="1875"/>
    <d v="2024-03-04T19:39:00"/>
    <x v="0"/>
    <x v="0"/>
    <x v="2"/>
  </r>
  <r>
    <n v="1876"/>
    <d v="2024-01-26T14:06:00"/>
    <x v="0"/>
    <x v="0"/>
    <x v="1"/>
  </r>
  <r>
    <n v="1877"/>
    <d v="2024-01-18T09:00:00"/>
    <x v="1"/>
    <x v="1"/>
    <x v="0"/>
  </r>
  <r>
    <n v="1878"/>
    <d v="2024-02-20T10:53:00"/>
    <x v="1"/>
    <x v="0"/>
    <x v="0"/>
  </r>
  <r>
    <n v="1879"/>
    <d v="2024-03-20T12:51:00"/>
    <x v="0"/>
    <x v="0"/>
    <x v="0"/>
  </r>
  <r>
    <n v="1880"/>
    <d v="2024-02-12T14:21:00"/>
    <x v="0"/>
    <x v="1"/>
    <x v="2"/>
  </r>
  <r>
    <n v="1881"/>
    <d v="2024-02-25T20:38:00"/>
    <x v="0"/>
    <x v="0"/>
    <x v="0"/>
  </r>
  <r>
    <n v="1882"/>
    <d v="2024-01-18T09:20:00"/>
    <x v="1"/>
    <x v="0"/>
    <x v="0"/>
  </r>
  <r>
    <n v="1883"/>
    <d v="2024-03-18T22:12:00"/>
    <x v="0"/>
    <x v="2"/>
    <x v="2"/>
  </r>
  <r>
    <n v="1884"/>
    <d v="2024-03-02T10:11:00"/>
    <x v="0"/>
    <x v="0"/>
    <x v="3"/>
  </r>
  <r>
    <n v="1885"/>
    <d v="2024-02-20T10:18:00"/>
    <x v="1"/>
    <x v="0"/>
    <x v="0"/>
  </r>
  <r>
    <n v="1886"/>
    <d v="2024-03-29T20:31:00"/>
    <x v="0"/>
    <x v="0"/>
    <x v="1"/>
  </r>
  <r>
    <n v="1887"/>
    <d v="2024-03-14T07:20:00"/>
    <x v="1"/>
    <x v="0"/>
    <x v="1"/>
  </r>
  <r>
    <n v="1888"/>
    <d v="2024-02-18T08:52:00"/>
    <x v="0"/>
    <x v="1"/>
    <x v="3"/>
  </r>
  <r>
    <n v="1889"/>
    <d v="2024-02-20T11:07:00"/>
    <x v="0"/>
    <x v="1"/>
    <x v="4"/>
  </r>
  <r>
    <n v="1890"/>
    <d v="2024-03-13T06:37:00"/>
    <x v="0"/>
    <x v="0"/>
    <x v="0"/>
  </r>
  <r>
    <n v="1891"/>
    <d v="2024-03-10T05:43:00"/>
    <x v="1"/>
    <x v="1"/>
    <x v="0"/>
  </r>
  <r>
    <n v="1892"/>
    <d v="2024-03-11T00:46:00"/>
    <x v="1"/>
    <x v="1"/>
    <x v="3"/>
  </r>
  <r>
    <n v="1893"/>
    <d v="2024-02-29T22:13:00"/>
    <x v="1"/>
    <x v="0"/>
    <x v="2"/>
  </r>
  <r>
    <n v="1894"/>
    <d v="2024-02-26T09:53:00"/>
    <x v="0"/>
    <x v="1"/>
    <x v="1"/>
  </r>
  <r>
    <n v="1895"/>
    <d v="2024-03-29T02:52:00"/>
    <x v="1"/>
    <x v="0"/>
    <x v="1"/>
  </r>
  <r>
    <n v="1896"/>
    <d v="2024-02-22T21:31:00"/>
    <x v="0"/>
    <x v="0"/>
    <x v="1"/>
  </r>
  <r>
    <n v="1897"/>
    <d v="2024-01-18T20:19:00"/>
    <x v="0"/>
    <x v="0"/>
    <x v="4"/>
  </r>
  <r>
    <n v="1898"/>
    <d v="2024-01-31T08:42:00"/>
    <x v="1"/>
    <x v="0"/>
    <x v="4"/>
  </r>
  <r>
    <n v="1899"/>
    <d v="2024-01-20T22:27:00"/>
    <x v="0"/>
    <x v="0"/>
    <x v="1"/>
  </r>
  <r>
    <n v="1900"/>
    <d v="2024-02-18T02:28:00"/>
    <x v="0"/>
    <x v="1"/>
    <x v="0"/>
  </r>
  <r>
    <n v="1901"/>
    <d v="2024-03-17T15:37:00"/>
    <x v="0"/>
    <x v="0"/>
    <x v="3"/>
  </r>
  <r>
    <n v="1902"/>
    <d v="2024-02-21T17:32:00"/>
    <x v="0"/>
    <x v="0"/>
    <x v="0"/>
  </r>
  <r>
    <n v="1903"/>
    <d v="2024-03-29T13:34:00"/>
    <x v="0"/>
    <x v="0"/>
    <x v="0"/>
  </r>
  <r>
    <n v="1904"/>
    <d v="2024-01-05T11:44:00"/>
    <x v="1"/>
    <x v="1"/>
    <x v="3"/>
  </r>
  <r>
    <n v="1905"/>
    <d v="2024-03-09T19:40:00"/>
    <x v="0"/>
    <x v="1"/>
    <x v="0"/>
  </r>
  <r>
    <n v="1906"/>
    <d v="2024-01-11T03:49:00"/>
    <x v="1"/>
    <x v="1"/>
    <x v="0"/>
  </r>
  <r>
    <n v="1907"/>
    <d v="2024-02-01T21:42:00"/>
    <x v="1"/>
    <x v="1"/>
    <x v="0"/>
  </r>
  <r>
    <n v="1908"/>
    <d v="2024-02-15T05:41:00"/>
    <x v="0"/>
    <x v="2"/>
    <x v="3"/>
  </r>
  <r>
    <n v="1909"/>
    <d v="2024-03-19T01:36:00"/>
    <x v="0"/>
    <x v="0"/>
    <x v="2"/>
  </r>
  <r>
    <n v="1910"/>
    <d v="2024-03-23T21:41:00"/>
    <x v="0"/>
    <x v="1"/>
    <x v="1"/>
  </r>
  <r>
    <n v="1911"/>
    <d v="2024-02-21T10:50:00"/>
    <x v="1"/>
    <x v="1"/>
    <x v="0"/>
  </r>
  <r>
    <n v="1912"/>
    <d v="2024-02-25T03:00:00"/>
    <x v="0"/>
    <x v="2"/>
    <x v="3"/>
  </r>
  <r>
    <n v="1913"/>
    <d v="2024-01-13T08:14:00"/>
    <x v="1"/>
    <x v="2"/>
    <x v="3"/>
  </r>
  <r>
    <n v="1914"/>
    <d v="2024-03-06T23:33:00"/>
    <x v="0"/>
    <x v="0"/>
    <x v="2"/>
  </r>
  <r>
    <n v="1915"/>
    <d v="2024-03-12T18:44:00"/>
    <x v="1"/>
    <x v="0"/>
    <x v="2"/>
  </r>
  <r>
    <n v="1916"/>
    <d v="2024-03-14T07:28:00"/>
    <x v="0"/>
    <x v="0"/>
    <x v="0"/>
  </r>
  <r>
    <n v="1917"/>
    <d v="2024-02-17T12:29:00"/>
    <x v="0"/>
    <x v="1"/>
    <x v="4"/>
  </r>
  <r>
    <n v="1918"/>
    <d v="2024-03-27T18:44:00"/>
    <x v="1"/>
    <x v="0"/>
    <x v="1"/>
  </r>
  <r>
    <n v="1919"/>
    <d v="2024-03-05T04:22:00"/>
    <x v="1"/>
    <x v="0"/>
    <x v="4"/>
  </r>
  <r>
    <n v="1920"/>
    <d v="2024-01-04T15:06:00"/>
    <x v="0"/>
    <x v="1"/>
    <x v="2"/>
  </r>
  <r>
    <n v="1921"/>
    <d v="2024-02-07T13:58:00"/>
    <x v="1"/>
    <x v="0"/>
    <x v="3"/>
  </r>
  <r>
    <n v="1922"/>
    <d v="2024-01-11T03:53:00"/>
    <x v="0"/>
    <x v="2"/>
    <x v="3"/>
  </r>
  <r>
    <n v="1923"/>
    <d v="2024-01-19T11:19:00"/>
    <x v="1"/>
    <x v="0"/>
    <x v="1"/>
  </r>
  <r>
    <n v="1924"/>
    <d v="2024-02-13T14:50:00"/>
    <x v="1"/>
    <x v="0"/>
    <x v="4"/>
  </r>
  <r>
    <n v="1925"/>
    <d v="2024-01-27T16:30:00"/>
    <x v="0"/>
    <x v="0"/>
    <x v="2"/>
  </r>
  <r>
    <n v="1926"/>
    <d v="2024-02-14T15:06:00"/>
    <x v="0"/>
    <x v="1"/>
    <x v="0"/>
  </r>
  <r>
    <n v="1927"/>
    <d v="2024-02-26T23:44:00"/>
    <x v="0"/>
    <x v="0"/>
    <x v="1"/>
  </r>
  <r>
    <n v="1928"/>
    <d v="2024-02-27T10:04:00"/>
    <x v="1"/>
    <x v="0"/>
    <x v="1"/>
  </r>
  <r>
    <n v="1929"/>
    <d v="2024-02-08T01:51:00"/>
    <x v="1"/>
    <x v="2"/>
    <x v="1"/>
  </r>
  <r>
    <n v="1930"/>
    <d v="2024-01-15T00:54:00"/>
    <x v="0"/>
    <x v="0"/>
    <x v="0"/>
  </r>
  <r>
    <n v="1931"/>
    <d v="2024-02-13T20:06:00"/>
    <x v="0"/>
    <x v="1"/>
    <x v="2"/>
  </r>
  <r>
    <n v="1932"/>
    <d v="2024-03-27T05:59:00"/>
    <x v="1"/>
    <x v="1"/>
    <x v="2"/>
  </r>
  <r>
    <n v="1933"/>
    <d v="2024-02-01T16:11:00"/>
    <x v="1"/>
    <x v="0"/>
    <x v="2"/>
  </r>
  <r>
    <n v="1934"/>
    <d v="2024-03-11T05:21:00"/>
    <x v="1"/>
    <x v="1"/>
    <x v="1"/>
  </r>
  <r>
    <n v="1935"/>
    <d v="2024-03-12T13:29:00"/>
    <x v="0"/>
    <x v="0"/>
    <x v="1"/>
  </r>
  <r>
    <n v="1936"/>
    <d v="2024-01-30T12:40:00"/>
    <x v="0"/>
    <x v="1"/>
    <x v="0"/>
  </r>
  <r>
    <n v="1937"/>
    <d v="2024-01-24T05:40:00"/>
    <x v="0"/>
    <x v="0"/>
    <x v="2"/>
  </r>
  <r>
    <n v="1938"/>
    <d v="2024-03-25T13:25:00"/>
    <x v="1"/>
    <x v="1"/>
    <x v="0"/>
  </r>
  <r>
    <n v="1939"/>
    <d v="2024-01-04T23:39:00"/>
    <x v="0"/>
    <x v="0"/>
    <x v="0"/>
  </r>
  <r>
    <n v="1940"/>
    <d v="2024-01-26T14:37:00"/>
    <x v="1"/>
    <x v="1"/>
    <x v="3"/>
  </r>
  <r>
    <n v="1941"/>
    <d v="2024-02-24T12:00:00"/>
    <x v="0"/>
    <x v="0"/>
    <x v="4"/>
  </r>
  <r>
    <n v="1942"/>
    <d v="2024-01-28T06:17:00"/>
    <x v="1"/>
    <x v="0"/>
    <x v="2"/>
  </r>
  <r>
    <n v="1943"/>
    <d v="2024-01-09T18:06:00"/>
    <x v="1"/>
    <x v="0"/>
    <x v="3"/>
  </r>
  <r>
    <n v="1944"/>
    <d v="2024-03-09T05:23:00"/>
    <x v="1"/>
    <x v="0"/>
    <x v="3"/>
  </r>
  <r>
    <n v="1945"/>
    <d v="2024-02-11T06:29:00"/>
    <x v="0"/>
    <x v="1"/>
    <x v="3"/>
  </r>
  <r>
    <n v="1946"/>
    <d v="2024-01-15T08:42:00"/>
    <x v="0"/>
    <x v="0"/>
    <x v="0"/>
  </r>
  <r>
    <n v="1947"/>
    <d v="2024-03-03T16:40:00"/>
    <x v="0"/>
    <x v="2"/>
    <x v="4"/>
  </r>
  <r>
    <n v="1948"/>
    <d v="2024-02-10T19:24:00"/>
    <x v="1"/>
    <x v="2"/>
    <x v="2"/>
  </r>
  <r>
    <n v="1949"/>
    <d v="2024-03-19T12:37:00"/>
    <x v="1"/>
    <x v="1"/>
    <x v="2"/>
  </r>
  <r>
    <n v="1950"/>
    <d v="2024-01-15T11:22:00"/>
    <x v="1"/>
    <x v="0"/>
    <x v="0"/>
  </r>
  <r>
    <n v="1951"/>
    <d v="2024-02-28T19:11:00"/>
    <x v="1"/>
    <x v="0"/>
    <x v="2"/>
  </r>
  <r>
    <n v="1952"/>
    <d v="2024-03-27T22:51:00"/>
    <x v="1"/>
    <x v="1"/>
    <x v="0"/>
  </r>
  <r>
    <n v="1953"/>
    <d v="2024-02-08T19:37:00"/>
    <x v="0"/>
    <x v="0"/>
    <x v="0"/>
  </r>
  <r>
    <n v="1954"/>
    <d v="2024-01-11T21:08:00"/>
    <x v="1"/>
    <x v="0"/>
    <x v="2"/>
  </r>
  <r>
    <n v="1955"/>
    <d v="2024-02-10T03:15:00"/>
    <x v="0"/>
    <x v="1"/>
    <x v="3"/>
  </r>
  <r>
    <n v="1956"/>
    <d v="2024-02-09T03:11:00"/>
    <x v="0"/>
    <x v="1"/>
    <x v="3"/>
  </r>
  <r>
    <n v="1957"/>
    <d v="2024-02-17T22:09:00"/>
    <x v="0"/>
    <x v="1"/>
    <x v="2"/>
  </r>
  <r>
    <n v="1958"/>
    <d v="2024-03-06T12:26:00"/>
    <x v="0"/>
    <x v="0"/>
    <x v="3"/>
  </r>
  <r>
    <n v="1959"/>
    <d v="2024-03-17T04:36:00"/>
    <x v="0"/>
    <x v="1"/>
    <x v="3"/>
  </r>
  <r>
    <n v="1960"/>
    <d v="2024-02-19T13:11:00"/>
    <x v="1"/>
    <x v="0"/>
    <x v="3"/>
  </r>
  <r>
    <n v="1961"/>
    <d v="2024-03-03T20:34:00"/>
    <x v="0"/>
    <x v="0"/>
    <x v="0"/>
  </r>
  <r>
    <n v="1962"/>
    <d v="2024-03-29T20:59:00"/>
    <x v="1"/>
    <x v="2"/>
    <x v="1"/>
  </r>
  <r>
    <n v="1963"/>
    <d v="2024-01-23T17:10:00"/>
    <x v="0"/>
    <x v="0"/>
    <x v="4"/>
  </r>
  <r>
    <n v="1964"/>
    <d v="2024-03-03T09:08:00"/>
    <x v="0"/>
    <x v="0"/>
    <x v="1"/>
  </r>
  <r>
    <n v="1965"/>
    <d v="2024-01-24T10:53:00"/>
    <x v="0"/>
    <x v="0"/>
    <x v="2"/>
  </r>
  <r>
    <n v="1966"/>
    <d v="2024-02-27T19:03:00"/>
    <x v="0"/>
    <x v="2"/>
    <x v="2"/>
  </r>
  <r>
    <n v="1967"/>
    <d v="2024-02-15T00:31:00"/>
    <x v="1"/>
    <x v="1"/>
    <x v="1"/>
  </r>
  <r>
    <n v="1968"/>
    <d v="2024-01-18T06:52:00"/>
    <x v="0"/>
    <x v="1"/>
    <x v="2"/>
  </r>
  <r>
    <n v="1969"/>
    <d v="2024-02-19T17:32:00"/>
    <x v="1"/>
    <x v="1"/>
    <x v="0"/>
  </r>
  <r>
    <n v="1970"/>
    <d v="2024-03-24T15:26:00"/>
    <x v="0"/>
    <x v="0"/>
    <x v="2"/>
  </r>
  <r>
    <n v="1971"/>
    <d v="2024-03-28T15:26:00"/>
    <x v="1"/>
    <x v="0"/>
    <x v="3"/>
  </r>
  <r>
    <n v="1972"/>
    <d v="2024-02-26T15:10:00"/>
    <x v="1"/>
    <x v="0"/>
    <x v="3"/>
  </r>
  <r>
    <n v="1973"/>
    <d v="2024-01-11T18:01:00"/>
    <x v="1"/>
    <x v="0"/>
    <x v="0"/>
  </r>
  <r>
    <n v="1974"/>
    <d v="2024-01-29T09:02:00"/>
    <x v="0"/>
    <x v="0"/>
    <x v="4"/>
  </r>
  <r>
    <n v="1975"/>
    <d v="2024-02-05T07:34:00"/>
    <x v="0"/>
    <x v="2"/>
    <x v="2"/>
  </r>
  <r>
    <n v="1976"/>
    <d v="2024-02-06T05:49:00"/>
    <x v="0"/>
    <x v="0"/>
    <x v="1"/>
  </r>
  <r>
    <n v="1977"/>
    <d v="2024-02-28T18:47:00"/>
    <x v="1"/>
    <x v="0"/>
    <x v="3"/>
  </r>
  <r>
    <n v="1978"/>
    <d v="2024-03-04T17:32:00"/>
    <x v="0"/>
    <x v="0"/>
    <x v="3"/>
  </r>
  <r>
    <n v="1979"/>
    <d v="2024-01-15T18:07:00"/>
    <x v="0"/>
    <x v="0"/>
    <x v="4"/>
  </r>
  <r>
    <n v="1980"/>
    <d v="2024-02-04T17:52:00"/>
    <x v="1"/>
    <x v="2"/>
    <x v="2"/>
  </r>
  <r>
    <n v="1981"/>
    <d v="2024-02-16T17:52:00"/>
    <x v="0"/>
    <x v="0"/>
    <x v="3"/>
  </r>
  <r>
    <n v="1982"/>
    <d v="2024-01-06T23:28:00"/>
    <x v="1"/>
    <x v="0"/>
    <x v="0"/>
  </r>
  <r>
    <n v="1983"/>
    <d v="2024-03-10T06:27:00"/>
    <x v="0"/>
    <x v="1"/>
    <x v="1"/>
  </r>
  <r>
    <n v="1984"/>
    <d v="2024-01-14T23:53:00"/>
    <x v="0"/>
    <x v="0"/>
    <x v="1"/>
  </r>
  <r>
    <n v="1985"/>
    <d v="2024-03-24T07:19:00"/>
    <x v="1"/>
    <x v="0"/>
    <x v="1"/>
  </r>
  <r>
    <n v="1986"/>
    <d v="2024-01-05T14:16:00"/>
    <x v="0"/>
    <x v="0"/>
    <x v="0"/>
  </r>
  <r>
    <n v="1987"/>
    <d v="2024-02-14T02:28:00"/>
    <x v="1"/>
    <x v="1"/>
    <x v="3"/>
  </r>
  <r>
    <n v="1988"/>
    <d v="2024-01-16T07:13:00"/>
    <x v="0"/>
    <x v="2"/>
    <x v="0"/>
  </r>
  <r>
    <n v="1989"/>
    <d v="2024-03-16T22:22:00"/>
    <x v="0"/>
    <x v="1"/>
    <x v="0"/>
  </r>
  <r>
    <n v="1990"/>
    <d v="2024-03-19T20:27:00"/>
    <x v="1"/>
    <x v="0"/>
    <x v="1"/>
  </r>
  <r>
    <n v="1991"/>
    <d v="2024-01-22T19:08:00"/>
    <x v="1"/>
    <x v="1"/>
    <x v="2"/>
  </r>
  <r>
    <n v="1992"/>
    <d v="2024-01-27T06:51:00"/>
    <x v="1"/>
    <x v="0"/>
    <x v="3"/>
  </r>
  <r>
    <n v="1993"/>
    <d v="2024-01-08T18:22:00"/>
    <x v="0"/>
    <x v="0"/>
    <x v="2"/>
  </r>
  <r>
    <n v="1994"/>
    <d v="2024-03-09T08:38:00"/>
    <x v="1"/>
    <x v="0"/>
    <x v="0"/>
  </r>
  <r>
    <n v="1995"/>
    <d v="2024-03-09T05:20:00"/>
    <x v="0"/>
    <x v="0"/>
    <x v="3"/>
  </r>
  <r>
    <n v="1996"/>
    <d v="2024-02-07T09:36:00"/>
    <x v="0"/>
    <x v="1"/>
    <x v="2"/>
  </r>
  <r>
    <n v="1997"/>
    <d v="2024-02-04T16:57:00"/>
    <x v="1"/>
    <x v="1"/>
    <x v="0"/>
  </r>
  <r>
    <n v="1998"/>
    <d v="2024-03-27T03:08:00"/>
    <x v="0"/>
    <x v="2"/>
    <x v="1"/>
  </r>
  <r>
    <n v="1999"/>
    <d v="2024-02-22T01:17:00"/>
    <x v="1"/>
    <x v="1"/>
    <x v="2"/>
  </r>
  <r>
    <n v="2000"/>
    <d v="2024-03-24T04:44:00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n v="1655"/>
    <d v="2024-01-18T07:09:00"/>
    <x v="0"/>
    <x v="0"/>
    <x v="0"/>
  </r>
  <r>
    <n v="1115"/>
    <d v="2024-02-12T07:48:00"/>
    <x v="1"/>
    <x v="0"/>
    <x v="1"/>
  </r>
  <r>
    <n v="1026"/>
    <d v="2024-03-28T12:31:00"/>
    <x v="1"/>
    <x v="0"/>
    <x v="2"/>
  </r>
  <r>
    <n v="1760"/>
    <d v="2024-01-20T18:40:00"/>
    <x v="1"/>
    <x v="1"/>
    <x v="3"/>
  </r>
  <r>
    <n v="1282"/>
    <d v="2024-02-05T20:26:00"/>
    <x v="0"/>
    <x v="1"/>
    <x v="2"/>
  </r>
  <r>
    <n v="1251"/>
    <d v="2024-02-19T14:04:00"/>
    <x v="0"/>
    <x v="1"/>
    <x v="4"/>
  </r>
  <r>
    <n v="1229"/>
    <d v="2024-03-23T02:25:00"/>
    <x v="1"/>
    <x v="0"/>
    <x v="1"/>
  </r>
  <r>
    <n v="1143"/>
    <d v="2024-03-07T23:17:00"/>
    <x v="0"/>
    <x v="1"/>
    <x v="4"/>
  </r>
  <r>
    <n v="1755"/>
    <d v="2024-03-30T11:29:00"/>
    <x v="0"/>
    <x v="0"/>
    <x v="2"/>
  </r>
  <r>
    <n v="1105"/>
    <d v="2024-03-04T10:37:00"/>
    <x v="1"/>
    <x v="1"/>
    <x v="0"/>
  </r>
  <r>
    <n v="1693"/>
    <d v="2024-01-02T23:05:00"/>
    <x v="0"/>
    <x v="0"/>
    <x v="2"/>
  </r>
  <r>
    <n v="1759"/>
    <d v="2024-02-29T20:42:00"/>
    <x v="1"/>
    <x v="1"/>
    <x v="4"/>
  </r>
  <r>
    <n v="1914"/>
    <d v="2024-03-31T11:54:00"/>
    <x v="0"/>
    <x v="0"/>
    <x v="2"/>
  </r>
  <r>
    <n v="1559"/>
    <d v="2024-01-10T17:25:00"/>
    <x v="1"/>
    <x v="1"/>
    <x v="2"/>
  </r>
  <r>
    <n v="1090"/>
    <d v="2024-01-29T13:52:00"/>
    <x v="0"/>
    <x v="1"/>
    <x v="3"/>
  </r>
  <r>
    <n v="1605"/>
    <d v="2024-01-29T15:17:00"/>
    <x v="0"/>
    <x v="0"/>
    <x v="0"/>
  </r>
  <r>
    <n v="1433"/>
    <d v="2024-02-12T09:21:00"/>
    <x v="1"/>
    <x v="0"/>
    <x v="2"/>
  </r>
  <r>
    <n v="1033"/>
    <d v="2024-03-12T18:08:00"/>
    <x v="0"/>
    <x v="2"/>
    <x v="2"/>
  </r>
  <r>
    <n v="1031"/>
    <d v="2024-03-14T15:50:00"/>
    <x v="1"/>
    <x v="0"/>
    <x v="1"/>
  </r>
  <r>
    <n v="1096"/>
    <d v="2024-02-14T21:48:00"/>
    <x v="0"/>
    <x v="2"/>
    <x v="2"/>
  </r>
  <r>
    <n v="1224"/>
    <d v="2024-01-08T01:06:00"/>
    <x v="0"/>
    <x v="2"/>
    <x v="3"/>
  </r>
  <r>
    <n v="1239"/>
    <d v="2024-03-22T14:01:00"/>
    <x v="1"/>
    <x v="0"/>
    <x v="2"/>
  </r>
  <r>
    <n v="1518"/>
    <d v="2024-01-17T05:28:00"/>
    <x v="1"/>
    <x v="1"/>
    <x v="2"/>
  </r>
  <r>
    <n v="1617"/>
    <d v="2024-02-29T00:27:00"/>
    <x v="0"/>
    <x v="0"/>
    <x v="4"/>
  </r>
  <r>
    <n v="1028"/>
    <d v="2024-01-27T22:58:00"/>
    <x v="0"/>
    <x v="0"/>
    <x v="4"/>
  </r>
  <r>
    <n v="1575"/>
    <d v="2024-01-18T20:19:00"/>
    <x v="1"/>
    <x v="0"/>
    <x v="4"/>
  </r>
  <r>
    <n v="1204"/>
    <d v="2024-01-22T08:05:00"/>
    <x v="1"/>
    <x v="1"/>
    <x v="2"/>
  </r>
  <r>
    <n v="1734"/>
    <d v="2024-03-25T11:16:00"/>
    <x v="1"/>
    <x v="2"/>
    <x v="1"/>
  </r>
  <r>
    <n v="1666"/>
    <d v="2024-01-12T11:42:00"/>
    <x v="0"/>
    <x v="1"/>
    <x v="3"/>
  </r>
  <r>
    <n v="1719"/>
    <d v="2024-03-25T05:03:00"/>
    <x v="0"/>
    <x v="0"/>
    <x v="4"/>
  </r>
  <r>
    <n v="1987"/>
    <d v="2024-02-21T20:19:00"/>
    <x v="1"/>
    <x v="1"/>
    <x v="1"/>
  </r>
  <r>
    <n v="1430"/>
    <d v="2024-03-31T07:27:00"/>
    <x v="0"/>
    <x v="2"/>
    <x v="2"/>
  </r>
  <r>
    <n v="1226"/>
    <d v="2024-03-25T02:45:00"/>
    <x v="0"/>
    <x v="0"/>
    <x v="0"/>
  </r>
  <r>
    <n v="1460"/>
    <d v="2024-01-14T00:13:00"/>
    <x v="0"/>
    <x v="0"/>
    <x v="2"/>
  </r>
  <r>
    <n v="1604"/>
    <d v="2024-03-03T02:08:00"/>
    <x v="0"/>
    <x v="0"/>
    <x v="2"/>
  </r>
  <r>
    <n v="1285"/>
    <d v="2024-03-17T07:33:00"/>
    <x v="1"/>
    <x v="1"/>
    <x v="0"/>
  </r>
  <r>
    <n v="1829"/>
    <d v="2024-03-29T14:00:00"/>
    <x v="1"/>
    <x v="0"/>
    <x v="4"/>
  </r>
  <r>
    <n v="1891"/>
    <d v="2024-01-03T22:21:00"/>
    <x v="1"/>
    <x v="1"/>
    <x v="4"/>
  </r>
  <r>
    <n v="1007"/>
    <d v="2024-01-17T13:44:00"/>
    <x v="0"/>
    <x v="1"/>
    <x v="4"/>
  </r>
  <r>
    <n v="1778"/>
    <d v="2024-01-18T15:04:00"/>
    <x v="1"/>
    <x v="2"/>
    <x v="4"/>
  </r>
  <r>
    <n v="1826"/>
    <d v="2024-01-31T12:05:00"/>
    <x v="1"/>
    <x v="0"/>
    <x v="2"/>
  </r>
  <r>
    <n v="1164"/>
    <d v="2024-01-15T03:20:00"/>
    <x v="1"/>
    <x v="1"/>
    <x v="4"/>
  </r>
  <r>
    <n v="1715"/>
    <d v="2024-02-18T09:08:00"/>
    <x v="0"/>
    <x v="1"/>
    <x v="2"/>
  </r>
  <r>
    <n v="1984"/>
    <d v="2024-02-19T04:41:00"/>
    <x v="0"/>
    <x v="0"/>
    <x v="0"/>
  </r>
  <r>
    <n v="1349"/>
    <d v="2024-03-28T04:04:00"/>
    <x v="0"/>
    <x v="1"/>
    <x v="4"/>
  </r>
  <r>
    <n v="1965"/>
    <d v="2024-03-09T18:00:00"/>
    <x v="0"/>
    <x v="0"/>
    <x v="2"/>
  </r>
  <r>
    <n v="1160"/>
    <d v="2024-03-20T20:10:00"/>
    <x v="1"/>
    <x v="0"/>
    <x v="2"/>
  </r>
  <r>
    <n v="1221"/>
    <d v="2024-02-27T11:46:00"/>
    <x v="1"/>
    <x v="0"/>
    <x v="3"/>
  </r>
  <r>
    <n v="1782"/>
    <d v="2024-01-29T20:47:00"/>
    <x v="1"/>
    <x v="2"/>
    <x v="2"/>
  </r>
  <r>
    <n v="1345"/>
    <d v="2024-01-21T13:39:00"/>
    <x v="0"/>
    <x v="2"/>
    <x v="2"/>
  </r>
  <r>
    <n v="1991"/>
    <d v="2024-03-29T14:55:00"/>
    <x v="1"/>
    <x v="1"/>
    <x v="2"/>
  </r>
  <r>
    <n v="1095"/>
    <d v="2024-01-29T02:57:00"/>
    <x v="1"/>
    <x v="0"/>
    <x v="4"/>
  </r>
  <r>
    <n v="1390"/>
    <d v="2024-01-14T04:48:00"/>
    <x v="1"/>
    <x v="0"/>
    <x v="0"/>
  </r>
  <r>
    <n v="1100"/>
    <d v="2024-01-17T18:46:00"/>
    <x v="0"/>
    <x v="0"/>
    <x v="0"/>
  </r>
  <r>
    <n v="1368"/>
    <d v="2024-02-20T11:27:00"/>
    <x v="1"/>
    <x v="1"/>
    <x v="2"/>
  </r>
  <r>
    <n v="1868"/>
    <d v="2024-02-11T04:15:00"/>
    <x v="0"/>
    <x v="0"/>
    <x v="4"/>
  </r>
  <r>
    <n v="1353"/>
    <d v="2024-02-06T20:05:00"/>
    <x v="1"/>
    <x v="1"/>
    <x v="0"/>
  </r>
  <r>
    <n v="1619"/>
    <d v="2024-02-02T17:38:00"/>
    <x v="1"/>
    <x v="0"/>
    <x v="4"/>
  </r>
  <r>
    <n v="1271"/>
    <d v="2024-03-18T23:38:00"/>
    <x v="1"/>
    <x v="0"/>
    <x v="0"/>
  </r>
  <r>
    <n v="1827"/>
    <d v="2024-02-07T22:01:00"/>
    <x v="0"/>
    <x v="0"/>
    <x v="1"/>
  </r>
  <r>
    <n v="1045"/>
    <d v="2024-03-26T09:13:00"/>
    <x v="0"/>
    <x v="0"/>
    <x v="0"/>
  </r>
  <r>
    <n v="1748"/>
    <d v="2024-03-08T19:32:00"/>
    <x v="1"/>
    <x v="0"/>
    <x v="0"/>
  </r>
  <r>
    <n v="1471"/>
    <d v="2024-01-26T23:25:00"/>
    <x v="0"/>
    <x v="2"/>
    <x v="0"/>
  </r>
  <r>
    <n v="1550"/>
    <d v="2024-02-08T20:03:00"/>
    <x v="1"/>
    <x v="1"/>
    <x v="0"/>
  </r>
  <r>
    <n v="1128"/>
    <d v="2024-02-01T15:24:00"/>
    <x v="1"/>
    <x v="2"/>
    <x v="3"/>
  </r>
  <r>
    <n v="1388"/>
    <d v="2024-01-16T07:31:00"/>
    <x v="0"/>
    <x v="0"/>
    <x v="4"/>
  </r>
  <r>
    <n v="1081"/>
    <d v="2024-03-23T19:04:00"/>
    <x v="1"/>
    <x v="0"/>
    <x v="1"/>
  </r>
  <r>
    <n v="1566"/>
    <d v="2024-03-09T00:23:00"/>
    <x v="1"/>
    <x v="0"/>
    <x v="0"/>
  </r>
  <r>
    <n v="1301"/>
    <d v="2024-02-11T04:24:00"/>
    <x v="0"/>
    <x v="0"/>
    <x v="4"/>
  </r>
  <r>
    <n v="1850"/>
    <d v="2024-03-14T13:23:00"/>
    <x v="1"/>
    <x v="0"/>
    <x v="2"/>
  </r>
  <r>
    <n v="1644"/>
    <d v="2024-03-11T21:11:00"/>
    <x v="0"/>
    <x v="0"/>
    <x v="4"/>
  </r>
  <r>
    <n v="1634"/>
    <d v="2024-03-02T02:01:00"/>
    <x v="1"/>
    <x v="0"/>
    <x v="4"/>
  </r>
  <r>
    <n v="1907"/>
    <d v="2024-03-17T02:00:00"/>
    <x v="1"/>
    <x v="1"/>
    <x v="4"/>
  </r>
  <r>
    <n v="1883"/>
    <d v="2024-02-04T06:02:00"/>
    <x v="0"/>
    <x v="2"/>
    <x v="2"/>
  </r>
  <r>
    <n v="1371"/>
    <d v="2024-01-09T12:32:00"/>
    <x v="0"/>
    <x v="1"/>
    <x v="4"/>
  </r>
  <r>
    <n v="1592"/>
    <d v="2024-02-07T20:45:00"/>
    <x v="1"/>
    <x v="0"/>
    <x v="2"/>
  </r>
  <r>
    <n v="1197"/>
    <d v="2024-03-06T13:27:00"/>
    <x v="1"/>
    <x v="0"/>
    <x v="2"/>
  </r>
  <r>
    <n v="1722"/>
    <d v="2024-03-31T12:05:00"/>
    <x v="0"/>
    <x v="0"/>
    <x v="0"/>
  </r>
  <r>
    <n v="1072"/>
    <d v="2024-03-23T17:34:00"/>
    <x v="0"/>
    <x v="2"/>
    <x v="2"/>
  </r>
  <r>
    <n v="1047"/>
    <d v="2024-03-20T04:17:00"/>
    <x v="0"/>
    <x v="0"/>
    <x v="4"/>
  </r>
  <r>
    <n v="1678"/>
    <d v="2024-01-12T09:05:00"/>
    <x v="0"/>
    <x v="1"/>
    <x v="4"/>
  </r>
  <r>
    <n v="1234"/>
    <d v="2024-03-07T06:51:00"/>
    <x v="0"/>
    <x v="2"/>
    <x v="1"/>
  </r>
  <r>
    <n v="1792"/>
    <d v="2024-01-21T17:20:00"/>
    <x v="1"/>
    <x v="0"/>
    <x v="1"/>
  </r>
  <r>
    <n v="1297"/>
    <d v="2024-02-21T18:40:00"/>
    <x v="1"/>
    <x v="0"/>
    <x v="4"/>
  </r>
  <r>
    <n v="1082"/>
    <d v="2024-03-25T21:41:00"/>
    <x v="1"/>
    <x v="0"/>
    <x v="4"/>
  </r>
  <r>
    <n v="1876"/>
    <d v="2024-01-10T09:44:00"/>
    <x v="0"/>
    <x v="0"/>
    <x v="0"/>
  </r>
  <r>
    <n v="1979"/>
    <d v="2024-02-26T23:54:00"/>
    <x v="0"/>
    <x v="0"/>
    <x v="3"/>
  </r>
  <r>
    <n v="1888"/>
    <d v="2024-02-01T01:15:00"/>
    <x v="0"/>
    <x v="1"/>
    <x v="1"/>
  </r>
  <r>
    <n v="1104"/>
    <d v="2024-01-13T13:07:00"/>
    <x v="0"/>
    <x v="2"/>
    <x v="4"/>
  </r>
  <r>
    <n v="1948"/>
    <d v="2024-02-29T19:38:00"/>
    <x v="1"/>
    <x v="2"/>
    <x v="2"/>
  </r>
  <r>
    <n v="1955"/>
    <d v="2024-01-09T09:42:00"/>
    <x v="0"/>
    <x v="1"/>
    <x v="1"/>
  </r>
  <r>
    <n v="1465"/>
    <d v="2024-03-26T23:11:00"/>
    <x v="1"/>
    <x v="1"/>
    <x v="0"/>
  </r>
  <r>
    <n v="1651"/>
    <d v="2024-01-17T00:45:00"/>
    <x v="0"/>
    <x v="1"/>
    <x v="4"/>
  </r>
  <r>
    <n v="1855"/>
    <d v="2024-01-19T22:00:00"/>
    <x v="0"/>
    <x v="0"/>
    <x v="2"/>
  </r>
  <r>
    <n v="1374"/>
    <d v="2024-01-22T15:22:00"/>
    <x v="1"/>
    <x v="0"/>
    <x v="3"/>
  </r>
  <r>
    <n v="1167"/>
    <d v="2024-03-08T16:50:00"/>
    <x v="0"/>
    <x v="0"/>
    <x v="1"/>
  </r>
  <r>
    <n v="1380"/>
    <d v="2024-02-04T05:23:00"/>
    <x v="0"/>
    <x v="2"/>
    <x v="4"/>
  </r>
  <r>
    <n v="1364"/>
    <d v="2024-01-18T23:49:00"/>
    <x v="1"/>
    <x v="0"/>
    <x v="1"/>
  </r>
  <r>
    <n v="1215"/>
    <d v="2024-02-05T23:56:00"/>
    <x v="1"/>
    <x v="0"/>
    <x v="4"/>
  </r>
  <r>
    <n v="1687"/>
    <d v="2024-01-17T00:21:00"/>
    <x v="1"/>
    <x v="0"/>
    <x v="1"/>
  </r>
  <r>
    <n v="1274"/>
    <d v="2024-02-25T08:33:00"/>
    <x v="1"/>
    <x v="0"/>
    <x v="2"/>
  </r>
  <r>
    <n v="1971"/>
    <d v="2024-01-10T08:45:00"/>
    <x v="1"/>
    <x v="0"/>
    <x v="1"/>
  </r>
  <r>
    <n v="1700"/>
    <d v="2024-03-15T20:04:00"/>
    <x v="0"/>
    <x v="0"/>
    <x v="0"/>
  </r>
  <r>
    <n v="1664"/>
    <d v="2024-03-05T14:32:00"/>
    <x v="0"/>
    <x v="1"/>
    <x v="3"/>
  </r>
  <r>
    <n v="1074"/>
    <d v="2024-02-17T01:31:00"/>
    <x v="1"/>
    <x v="1"/>
    <x v="2"/>
  </r>
  <r>
    <n v="1624"/>
    <d v="2024-03-14T05:23:00"/>
    <x v="0"/>
    <x v="0"/>
    <x v="0"/>
  </r>
  <r>
    <n v="1908"/>
    <d v="2024-01-22T08:49:00"/>
    <x v="0"/>
    <x v="2"/>
    <x v="1"/>
  </r>
  <r>
    <n v="1176"/>
    <d v="2024-01-15T18:43:00"/>
    <x v="0"/>
    <x v="0"/>
    <x v="4"/>
  </r>
  <r>
    <n v="1547"/>
    <d v="2024-01-16T07:47:00"/>
    <x v="0"/>
    <x v="0"/>
    <x v="4"/>
  </r>
  <r>
    <n v="1747"/>
    <d v="2024-03-07T00:02:00"/>
    <x v="0"/>
    <x v="0"/>
    <x v="2"/>
  </r>
  <r>
    <n v="1995"/>
    <d v="2024-01-03T07:02:00"/>
    <x v="0"/>
    <x v="0"/>
    <x v="1"/>
  </r>
  <r>
    <n v="1168"/>
    <d v="2024-03-02T11:24:00"/>
    <x v="0"/>
    <x v="0"/>
    <x v="4"/>
  </r>
  <r>
    <n v="1474"/>
    <d v="2024-01-21T05:59:00"/>
    <x v="1"/>
    <x v="1"/>
    <x v="4"/>
  </r>
  <r>
    <n v="1389"/>
    <d v="2024-01-06T17:51:00"/>
    <x v="1"/>
    <x v="0"/>
    <x v="3"/>
  </r>
  <r>
    <n v="1277"/>
    <d v="2024-03-25T13:14:00"/>
    <x v="1"/>
    <x v="2"/>
    <x v="4"/>
  </r>
  <r>
    <n v="1656"/>
    <d v="2024-02-12T07:26:00"/>
    <x v="0"/>
    <x v="0"/>
    <x v="4"/>
  </r>
  <r>
    <n v="1705"/>
    <d v="2024-02-11T08:52:00"/>
    <x v="0"/>
    <x v="0"/>
    <x v="4"/>
  </r>
  <r>
    <n v="1571"/>
    <d v="2024-01-11T18:23:00"/>
    <x v="0"/>
    <x v="0"/>
    <x v="2"/>
  </r>
  <r>
    <n v="1225"/>
    <d v="2024-01-17T16:43:00"/>
    <x v="0"/>
    <x v="1"/>
    <x v="3"/>
  </r>
  <r>
    <n v="1702"/>
    <d v="2024-01-08T05:14:00"/>
    <x v="0"/>
    <x v="0"/>
    <x v="2"/>
  </r>
  <r>
    <n v="1333"/>
    <d v="2024-03-08T01:25:00"/>
    <x v="0"/>
    <x v="0"/>
    <x v="2"/>
  </r>
  <r>
    <n v="1864"/>
    <d v="2024-01-10T14:55:00"/>
    <x v="0"/>
    <x v="0"/>
    <x v="2"/>
  </r>
  <r>
    <n v="1787"/>
    <d v="2024-02-07T09:20:00"/>
    <x v="1"/>
    <x v="1"/>
    <x v="2"/>
  </r>
  <r>
    <n v="1795"/>
    <d v="2024-01-13T17:29:00"/>
    <x v="0"/>
    <x v="1"/>
    <x v="0"/>
  </r>
  <r>
    <n v="1058"/>
    <d v="2024-01-03T11:12:00"/>
    <x v="0"/>
    <x v="0"/>
    <x v="4"/>
  </r>
  <r>
    <n v="1235"/>
    <d v="2024-02-08T18:50:00"/>
    <x v="0"/>
    <x v="1"/>
    <x v="4"/>
  </r>
  <r>
    <n v="1842"/>
    <d v="2024-02-09T23:39:00"/>
    <x v="1"/>
    <x v="0"/>
    <x v="4"/>
  </r>
  <r>
    <n v="1983"/>
    <d v="2024-02-02T14:23:00"/>
    <x v="0"/>
    <x v="1"/>
    <x v="0"/>
  </r>
  <r>
    <n v="1825"/>
    <d v="2024-03-17T15:49:00"/>
    <x v="1"/>
    <x v="0"/>
    <x v="4"/>
  </r>
  <r>
    <n v="1324"/>
    <d v="2024-01-27T23:57:00"/>
    <x v="0"/>
    <x v="2"/>
    <x v="3"/>
  </r>
  <r>
    <n v="1411"/>
    <d v="2024-03-11T07:09:00"/>
    <x v="0"/>
    <x v="0"/>
    <x v="0"/>
  </r>
  <r>
    <n v="1275"/>
    <d v="2024-01-02T13:01:00"/>
    <x v="0"/>
    <x v="1"/>
    <x v="2"/>
  </r>
  <r>
    <n v="1068"/>
    <d v="2024-01-31T17:22:00"/>
    <x v="1"/>
    <x v="0"/>
    <x v="0"/>
  </r>
  <r>
    <n v="1217"/>
    <d v="2024-03-23T22:56:00"/>
    <x v="0"/>
    <x v="1"/>
    <x v="0"/>
  </r>
  <r>
    <n v="1581"/>
    <d v="2024-01-03T10:00:00"/>
    <x v="0"/>
    <x v="1"/>
    <x v="1"/>
  </r>
  <r>
    <n v="1736"/>
    <d v="2024-03-26T12:54:00"/>
    <x v="1"/>
    <x v="1"/>
    <x v="4"/>
  </r>
  <r>
    <n v="1323"/>
    <d v="2024-02-10T03:13:00"/>
    <x v="1"/>
    <x v="1"/>
    <x v="1"/>
  </r>
  <r>
    <n v="1218"/>
    <d v="2024-03-09T07:26:00"/>
    <x v="1"/>
    <x v="0"/>
    <x v="4"/>
  </r>
  <r>
    <n v="1672"/>
    <d v="2024-03-04T01:09:00"/>
    <x v="1"/>
    <x v="0"/>
    <x v="0"/>
  </r>
  <r>
    <n v="1512"/>
    <d v="2024-02-06T02:02:00"/>
    <x v="0"/>
    <x v="0"/>
    <x v="2"/>
  </r>
  <r>
    <n v="1406"/>
    <d v="2024-01-31T16:26:00"/>
    <x v="1"/>
    <x v="2"/>
    <x v="3"/>
  </r>
  <r>
    <n v="1659"/>
    <d v="2024-03-31T11:29:00"/>
    <x v="1"/>
    <x v="1"/>
    <x v="0"/>
  </r>
  <r>
    <n v="1470"/>
    <d v="2024-01-12T18:06:00"/>
    <x v="1"/>
    <x v="1"/>
    <x v="4"/>
  </r>
  <r>
    <n v="1147"/>
    <d v="2024-03-06T04:40:00"/>
    <x v="1"/>
    <x v="0"/>
    <x v="4"/>
  </r>
  <r>
    <n v="1272"/>
    <d v="2024-02-21T02:37:00"/>
    <x v="1"/>
    <x v="1"/>
    <x v="4"/>
  </r>
  <r>
    <n v="1993"/>
    <d v="2024-03-14T01:27:00"/>
    <x v="0"/>
    <x v="0"/>
    <x v="2"/>
  </r>
  <r>
    <n v="1253"/>
    <d v="2024-03-26T04:15:00"/>
    <x v="1"/>
    <x v="0"/>
    <x v="3"/>
  </r>
  <r>
    <n v="1763"/>
    <d v="2024-02-08T08:54:00"/>
    <x v="0"/>
    <x v="1"/>
    <x v="2"/>
  </r>
  <r>
    <n v="1975"/>
    <d v="2024-02-11T12:44:00"/>
    <x v="0"/>
    <x v="2"/>
    <x v="2"/>
  </r>
  <r>
    <n v="1552"/>
    <d v="2024-02-12T10:28:00"/>
    <x v="1"/>
    <x v="1"/>
    <x v="4"/>
  </r>
  <r>
    <n v="1270"/>
    <d v="2024-02-05T07:04:00"/>
    <x v="0"/>
    <x v="1"/>
    <x v="4"/>
  </r>
  <r>
    <n v="1765"/>
    <d v="2024-01-27T04:49:00"/>
    <x v="0"/>
    <x v="1"/>
    <x v="4"/>
  </r>
  <r>
    <n v="1599"/>
    <d v="2024-03-16T03:09:00"/>
    <x v="0"/>
    <x v="0"/>
    <x v="4"/>
  </r>
  <r>
    <n v="1439"/>
    <d v="2024-01-15T05:28:00"/>
    <x v="1"/>
    <x v="0"/>
    <x v="0"/>
  </r>
  <r>
    <n v="1598"/>
    <d v="2024-03-01T10:26:00"/>
    <x v="0"/>
    <x v="2"/>
    <x v="2"/>
  </r>
  <r>
    <n v="1409"/>
    <d v="2024-01-17T17:22:00"/>
    <x v="1"/>
    <x v="1"/>
    <x v="2"/>
  </r>
  <r>
    <n v="1926"/>
    <d v="2024-01-28T14:19:00"/>
    <x v="0"/>
    <x v="1"/>
    <x v="4"/>
  </r>
  <r>
    <n v="1882"/>
    <d v="2024-03-01T08:54:00"/>
    <x v="1"/>
    <x v="0"/>
    <x v="4"/>
  </r>
  <r>
    <n v="1142"/>
    <d v="2024-01-17T02:10:00"/>
    <x v="0"/>
    <x v="2"/>
    <x v="3"/>
  </r>
  <r>
    <n v="1522"/>
    <d v="2024-03-29T09:52:00"/>
    <x v="0"/>
    <x v="0"/>
    <x v="2"/>
  </r>
  <r>
    <n v="1506"/>
    <d v="2024-03-31T19:02:00"/>
    <x v="0"/>
    <x v="0"/>
    <x v="4"/>
  </r>
  <r>
    <n v="1094"/>
    <d v="2024-01-29T10:09:00"/>
    <x v="1"/>
    <x v="0"/>
    <x v="4"/>
  </r>
  <r>
    <n v="1774"/>
    <d v="2024-01-13T22:15:00"/>
    <x v="0"/>
    <x v="0"/>
    <x v="4"/>
  </r>
  <r>
    <n v="1049"/>
    <d v="2024-02-16T12:32:00"/>
    <x v="1"/>
    <x v="1"/>
    <x v="4"/>
  </r>
  <r>
    <n v="1113"/>
    <d v="2024-01-08T21:19:00"/>
    <x v="1"/>
    <x v="1"/>
    <x v="0"/>
  </r>
  <r>
    <n v="1157"/>
    <d v="2024-02-04T05:01:00"/>
    <x v="1"/>
    <x v="0"/>
    <x v="1"/>
  </r>
  <r>
    <n v="1643"/>
    <d v="2024-02-22T14:35:00"/>
    <x v="0"/>
    <x v="0"/>
    <x v="1"/>
  </r>
  <r>
    <n v="1959"/>
    <d v="2024-03-12T07:06:00"/>
    <x v="0"/>
    <x v="1"/>
    <x v="1"/>
  </r>
  <r>
    <n v="1812"/>
    <d v="2024-03-01T03:51:00"/>
    <x v="1"/>
    <x v="1"/>
    <x v="2"/>
  </r>
  <r>
    <n v="1697"/>
    <d v="2024-01-19T03:00:00"/>
    <x v="0"/>
    <x v="1"/>
    <x v="0"/>
  </r>
  <r>
    <n v="1957"/>
    <d v="2024-01-09T07:08:00"/>
    <x v="0"/>
    <x v="1"/>
    <x v="2"/>
  </r>
  <r>
    <n v="1611"/>
    <d v="2024-01-27T12:23:00"/>
    <x v="0"/>
    <x v="1"/>
    <x v="4"/>
  </r>
  <r>
    <n v="1066"/>
    <d v="2024-03-29T20:41:00"/>
    <x v="1"/>
    <x v="0"/>
    <x v="4"/>
  </r>
  <r>
    <n v="1395"/>
    <d v="2024-01-12T18:37:00"/>
    <x v="0"/>
    <x v="1"/>
    <x v="1"/>
  </r>
  <r>
    <n v="1391"/>
    <d v="2024-02-04T02:01:00"/>
    <x v="1"/>
    <x v="0"/>
    <x v="1"/>
  </r>
  <r>
    <n v="1964"/>
    <d v="2024-01-10T06:57:00"/>
    <x v="0"/>
    <x v="0"/>
    <x v="0"/>
  </r>
  <r>
    <n v="1480"/>
    <d v="2024-03-24T14:51:00"/>
    <x v="1"/>
    <x v="2"/>
    <x v="4"/>
  </r>
  <r>
    <n v="1542"/>
    <d v="2024-01-18T02:57:00"/>
    <x v="1"/>
    <x v="2"/>
    <x v="3"/>
  </r>
  <r>
    <n v="1258"/>
    <d v="2024-02-13T03:02:00"/>
    <x v="1"/>
    <x v="0"/>
    <x v="1"/>
  </r>
  <r>
    <n v="1567"/>
    <d v="2024-03-01T01:10:00"/>
    <x v="0"/>
    <x v="0"/>
    <x v="2"/>
  </r>
  <r>
    <n v="1012"/>
    <d v="2024-03-15T13:52:00"/>
    <x v="1"/>
    <x v="0"/>
    <x v="4"/>
  </r>
  <r>
    <n v="1831"/>
    <d v="2024-02-21T15:01:00"/>
    <x v="0"/>
    <x v="2"/>
    <x v="0"/>
  </r>
  <r>
    <n v="1739"/>
    <d v="2024-02-19T21:27:00"/>
    <x v="0"/>
    <x v="0"/>
    <x v="4"/>
  </r>
  <r>
    <n v="1118"/>
    <d v="2024-01-24T11:13:00"/>
    <x v="0"/>
    <x v="0"/>
    <x v="1"/>
  </r>
  <r>
    <n v="1699"/>
    <d v="2024-01-25T08:17:00"/>
    <x v="0"/>
    <x v="1"/>
    <x v="4"/>
  </r>
  <r>
    <n v="1937"/>
    <d v="2024-02-28T04:02:00"/>
    <x v="0"/>
    <x v="0"/>
    <x v="2"/>
  </r>
  <r>
    <n v="1769"/>
    <d v="2024-03-20T19:39:00"/>
    <x v="0"/>
    <x v="1"/>
    <x v="0"/>
  </r>
  <r>
    <n v="1900"/>
    <d v="2024-02-02T20:18:00"/>
    <x v="0"/>
    <x v="1"/>
    <x v="4"/>
  </r>
  <r>
    <n v="1788"/>
    <d v="2024-03-05T13:56:00"/>
    <x v="0"/>
    <x v="0"/>
    <x v="0"/>
  </r>
  <r>
    <n v="1657"/>
    <d v="2024-03-12T15:03:00"/>
    <x v="0"/>
    <x v="1"/>
    <x v="2"/>
  </r>
  <r>
    <n v="1956"/>
    <d v="2024-01-13T08:24:00"/>
    <x v="0"/>
    <x v="1"/>
    <x v="1"/>
  </r>
  <r>
    <n v="1999"/>
    <d v="2024-01-19T13:12:00"/>
    <x v="1"/>
    <x v="1"/>
    <x v="2"/>
  </r>
  <r>
    <n v="1932"/>
    <d v="2024-03-24T16:15:00"/>
    <x v="1"/>
    <x v="1"/>
    <x v="2"/>
  </r>
  <r>
    <n v="1446"/>
    <d v="2024-03-22T17:50:00"/>
    <x v="1"/>
    <x v="0"/>
    <x v="4"/>
  </r>
  <r>
    <n v="1162"/>
    <d v="2024-01-04T12:50:00"/>
    <x v="1"/>
    <x v="0"/>
    <x v="2"/>
  </r>
  <r>
    <n v="1909"/>
    <d v="2024-02-16T15:34:00"/>
    <x v="0"/>
    <x v="0"/>
    <x v="2"/>
  </r>
  <r>
    <n v="1004"/>
    <d v="2024-03-04T11:58:00"/>
    <x v="1"/>
    <x v="0"/>
    <x v="2"/>
  </r>
  <r>
    <n v="1740"/>
    <d v="2024-03-14T16:20:00"/>
    <x v="0"/>
    <x v="0"/>
    <x v="2"/>
  </r>
  <r>
    <n v="1737"/>
    <d v="2024-02-20T08:11:00"/>
    <x v="0"/>
    <x v="0"/>
    <x v="4"/>
  </r>
  <r>
    <n v="1931"/>
    <d v="2024-01-05T10:38:00"/>
    <x v="0"/>
    <x v="1"/>
    <x v="2"/>
  </r>
  <r>
    <n v="1513"/>
    <d v="2024-01-30T00:57:00"/>
    <x v="1"/>
    <x v="0"/>
    <x v="1"/>
  </r>
  <r>
    <n v="1781"/>
    <d v="2024-02-06T01:51:00"/>
    <x v="1"/>
    <x v="0"/>
    <x v="4"/>
  </r>
  <r>
    <n v="1183"/>
    <d v="2024-03-02T16:22:00"/>
    <x v="1"/>
    <x v="1"/>
    <x v="4"/>
  </r>
  <r>
    <n v="1520"/>
    <d v="2024-03-16T07:10:00"/>
    <x v="0"/>
    <x v="0"/>
    <x v="0"/>
  </r>
  <r>
    <n v="1109"/>
    <d v="2024-01-14T07:42:00"/>
    <x v="0"/>
    <x v="0"/>
    <x v="2"/>
  </r>
  <r>
    <n v="1641"/>
    <d v="2024-02-01T08:34:00"/>
    <x v="0"/>
    <x v="1"/>
    <x v="1"/>
  </r>
  <r>
    <n v="1306"/>
    <d v="2024-01-09T07:36:00"/>
    <x v="1"/>
    <x v="1"/>
    <x v="4"/>
  </r>
  <r>
    <n v="2000"/>
    <d v="2024-02-20T11:59:00"/>
    <x v="0"/>
    <x v="1"/>
    <x v="0"/>
  </r>
  <r>
    <n v="1797"/>
    <d v="2024-01-24T05:15:00"/>
    <x v="1"/>
    <x v="1"/>
    <x v="2"/>
  </r>
  <r>
    <n v="1895"/>
    <d v="2024-03-17T10:51:00"/>
    <x v="1"/>
    <x v="0"/>
    <x v="0"/>
  </r>
  <r>
    <n v="1974"/>
    <d v="2024-03-31T11:58:00"/>
    <x v="0"/>
    <x v="0"/>
    <x v="3"/>
  </r>
  <r>
    <n v="1835"/>
    <d v="2024-03-17T00:45:00"/>
    <x v="0"/>
    <x v="2"/>
    <x v="2"/>
  </r>
  <r>
    <n v="1383"/>
    <d v="2024-03-31T11:36:00"/>
    <x v="1"/>
    <x v="1"/>
    <x v="2"/>
  </r>
  <r>
    <n v="1799"/>
    <d v="2024-03-14T04:36:00"/>
    <x v="1"/>
    <x v="0"/>
    <x v="2"/>
  </r>
  <r>
    <n v="1166"/>
    <d v="2024-01-26T15:34:00"/>
    <x v="1"/>
    <x v="0"/>
    <x v="2"/>
  </r>
  <r>
    <n v="1553"/>
    <d v="2024-02-10T05:31:00"/>
    <x v="1"/>
    <x v="0"/>
    <x v="0"/>
  </r>
  <r>
    <n v="1544"/>
    <d v="2024-01-06T02:03:00"/>
    <x v="1"/>
    <x v="1"/>
    <x v="2"/>
  </r>
  <r>
    <n v="1001"/>
    <d v="2024-01-31T19:14:00"/>
    <x v="0"/>
    <x v="0"/>
    <x v="4"/>
  </r>
  <r>
    <n v="1614"/>
    <d v="2024-01-04T16:30:00"/>
    <x v="0"/>
    <x v="1"/>
    <x v="0"/>
  </r>
  <r>
    <n v="1332"/>
    <d v="2024-01-02T10:58:00"/>
    <x v="1"/>
    <x v="0"/>
    <x v="4"/>
  </r>
  <r>
    <n v="1501"/>
    <d v="2024-03-20T06:51:00"/>
    <x v="1"/>
    <x v="0"/>
    <x v="2"/>
  </r>
  <r>
    <n v="1020"/>
    <d v="2024-01-18T10:45:00"/>
    <x v="0"/>
    <x v="1"/>
    <x v="4"/>
  </r>
  <r>
    <n v="1809"/>
    <d v="2024-01-24T10:03:00"/>
    <x v="0"/>
    <x v="0"/>
    <x v="3"/>
  </r>
  <r>
    <n v="1372"/>
    <d v="2024-01-04T04:37:00"/>
    <x v="0"/>
    <x v="0"/>
    <x v="3"/>
  </r>
  <r>
    <n v="1315"/>
    <d v="2024-01-20T03:54:00"/>
    <x v="1"/>
    <x v="1"/>
    <x v="2"/>
  </r>
  <r>
    <n v="1246"/>
    <d v="2024-03-09T11:04:00"/>
    <x v="1"/>
    <x v="0"/>
    <x v="2"/>
  </r>
  <r>
    <n v="1060"/>
    <d v="2024-02-18T22:42:00"/>
    <x v="0"/>
    <x v="1"/>
    <x v="1"/>
  </r>
  <r>
    <n v="1247"/>
    <d v="2024-02-21T18:06:00"/>
    <x v="0"/>
    <x v="0"/>
    <x v="0"/>
  </r>
  <r>
    <n v="1866"/>
    <d v="2024-02-14T09:20:00"/>
    <x v="1"/>
    <x v="1"/>
    <x v="3"/>
  </r>
  <r>
    <n v="1934"/>
    <d v="2024-01-19T05:46:00"/>
    <x v="1"/>
    <x v="1"/>
    <x v="0"/>
  </r>
  <r>
    <n v="1088"/>
    <d v="2024-02-26T20:31:00"/>
    <x v="1"/>
    <x v="1"/>
    <x v="1"/>
  </r>
  <r>
    <n v="1750"/>
    <d v="2024-03-25T10:11:00"/>
    <x v="1"/>
    <x v="0"/>
    <x v="4"/>
  </r>
  <r>
    <n v="1498"/>
    <d v="2024-03-13T22:56:00"/>
    <x v="0"/>
    <x v="0"/>
    <x v="0"/>
  </r>
  <r>
    <n v="1071"/>
    <d v="2024-03-20T11:14:00"/>
    <x v="1"/>
    <x v="0"/>
    <x v="2"/>
  </r>
  <r>
    <n v="1546"/>
    <d v="2024-03-27T18:52:00"/>
    <x v="0"/>
    <x v="1"/>
    <x v="2"/>
  </r>
  <r>
    <n v="1129"/>
    <d v="2024-01-24T12:19:00"/>
    <x v="0"/>
    <x v="1"/>
    <x v="4"/>
  </r>
  <r>
    <n v="1132"/>
    <d v="2024-03-30T09:08:00"/>
    <x v="0"/>
    <x v="0"/>
    <x v="0"/>
  </r>
  <r>
    <n v="1676"/>
    <d v="2024-01-24T23:00:00"/>
    <x v="1"/>
    <x v="1"/>
    <x v="3"/>
  </r>
  <r>
    <n v="1487"/>
    <d v="2024-03-31T18:25:00"/>
    <x v="0"/>
    <x v="1"/>
    <x v="0"/>
  </r>
  <r>
    <n v="1563"/>
    <d v="2024-03-14T01:11:00"/>
    <x v="0"/>
    <x v="0"/>
    <x v="0"/>
  </r>
  <r>
    <n v="1170"/>
    <d v="2024-03-19T10:58:00"/>
    <x v="1"/>
    <x v="1"/>
    <x v="1"/>
  </r>
  <r>
    <n v="1856"/>
    <d v="2024-03-20T07:40:00"/>
    <x v="0"/>
    <x v="0"/>
    <x v="1"/>
  </r>
  <r>
    <n v="1541"/>
    <d v="2024-03-14T03:59:00"/>
    <x v="1"/>
    <x v="0"/>
    <x v="4"/>
  </r>
  <r>
    <n v="1622"/>
    <d v="2024-03-05T04:21:00"/>
    <x v="0"/>
    <x v="2"/>
    <x v="4"/>
  </r>
  <r>
    <n v="1434"/>
    <d v="2024-01-11T07:22:00"/>
    <x v="0"/>
    <x v="1"/>
    <x v="2"/>
  </r>
  <r>
    <n v="1867"/>
    <d v="2024-02-11T05:40:00"/>
    <x v="0"/>
    <x v="2"/>
    <x v="0"/>
  </r>
  <r>
    <n v="1785"/>
    <d v="2024-01-13T22:42:00"/>
    <x v="0"/>
    <x v="1"/>
    <x v="4"/>
  </r>
  <r>
    <n v="1939"/>
    <d v="2024-03-23T23:56:00"/>
    <x v="0"/>
    <x v="0"/>
    <x v="4"/>
  </r>
  <r>
    <n v="1707"/>
    <d v="2024-02-13T14:00:00"/>
    <x v="0"/>
    <x v="0"/>
    <x v="4"/>
  </r>
  <r>
    <n v="1206"/>
    <d v="2024-02-04T06:15:00"/>
    <x v="0"/>
    <x v="1"/>
    <x v="0"/>
  </r>
  <r>
    <n v="1731"/>
    <d v="2024-03-30T02:22:00"/>
    <x v="0"/>
    <x v="2"/>
    <x v="0"/>
  </r>
  <r>
    <n v="1320"/>
    <d v="2024-02-03T03:46:00"/>
    <x v="0"/>
    <x v="0"/>
    <x v="1"/>
  </r>
  <r>
    <n v="1845"/>
    <d v="2024-01-02T01:24:00"/>
    <x v="0"/>
    <x v="2"/>
    <x v="0"/>
  </r>
  <r>
    <n v="1688"/>
    <d v="2024-02-27T23:26:00"/>
    <x v="0"/>
    <x v="0"/>
    <x v="0"/>
  </r>
  <r>
    <n v="1972"/>
    <d v="2024-01-23T13:31:00"/>
    <x v="1"/>
    <x v="0"/>
    <x v="1"/>
  </r>
  <r>
    <n v="1832"/>
    <d v="2024-02-19T11:34:00"/>
    <x v="0"/>
    <x v="2"/>
    <x v="1"/>
  </r>
  <r>
    <n v="1449"/>
    <d v="2024-02-19T03:53:00"/>
    <x v="0"/>
    <x v="1"/>
    <x v="0"/>
  </r>
  <r>
    <n v="1530"/>
    <d v="2024-03-03T18:41:00"/>
    <x v="1"/>
    <x v="2"/>
    <x v="1"/>
  </r>
  <r>
    <n v="1463"/>
    <d v="2024-03-29T07:10:00"/>
    <x v="1"/>
    <x v="1"/>
    <x v="1"/>
  </r>
  <r>
    <n v="1124"/>
    <d v="2024-02-28T02:51:00"/>
    <x v="0"/>
    <x v="0"/>
    <x v="4"/>
  </r>
  <r>
    <n v="1254"/>
    <d v="2024-01-06T09:01:00"/>
    <x v="0"/>
    <x v="1"/>
    <x v="2"/>
  </r>
  <r>
    <n v="1231"/>
    <d v="2024-02-11T08:06:00"/>
    <x v="1"/>
    <x v="1"/>
    <x v="0"/>
  </r>
  <r>
    <n v="1828"/>
    <d v="2024-01-11T10:10:00"/>
    <x v="0"/>
    <x v="0"/>
    <x v="0"/>
  </r>
  <r>
    <n v="1347"/>
    <d v="2024-02-19T05:46:00"/>
    <x v="1"/>
    <x v="1"/>
    <x v="0"/>
  </r>
  <r>
    <n v="1022"/>
    <d v="2024-01-11T17:57:00"/>
    <x v="0"/>
    <x v="0"/>
    <x v="4"/>
  </r>
  <r>
    <n v="1603"/>
    <d v="2024-01-13T10:38:00"/>
    <x v="0"/>
    <x v="1"/>
    <x v="0"/>
  </r>
  <r>
    <n v="1568"/>
    <d v="2024-03-20T15:45:00"/>
    <x v="0"/>
    <x v="0"/>
    <x v="4"/>
  </r>
  <r>
    <n v="1236"/>
    <d v="2024-01-05T13:41:00"/>
    <x v="1"/>
    <x v="0"/>
    <x v="1"/>
  </r>
  <r>
    <n v="1735"/>
    <d v="2024-01-23T19:56:00"/>
    <x v="0"/>
    <x v="1"/>
    <x v="4"/>
  </r>
  <r>
    <n v="1968"/>
    <d v="2024-02-26T05:03:00"/>
    <x v="0"/>
    <x v="1"/>
    <x v="2"/>
  </r>
  <r>
    <n v="1008"/>
    <d v="2024-01-14T10:13:00"/>
    <x v="1"/>
    <x v="0"/>
    <x v="2"/>
  </r>
  <r>
    <n v="1073"/>
    <d v="2024-01-26T13:44:00"/>
    <x v="0"/>
    <x v="2"/>
    <x v="4"/>
  </r>
  <r>
    <n v="1725"/>
    <d v="2024-03-12T23:59:00"/>
    <x v="1"/>
    <x v="0"/>
    <x v="3"/>
  </r>
  <r>
    <n v="1647"/>
    <d v="2024-03-11T08:42:00"/>
    <x v="1"/>
    <x v="0"/>
    <x v="1"/>
  </r>
  <r>
    <n v="1061"/>
    <d v="2024-02-07T09:15:00"/>
    <x v="0"/>
    <x v="1"/>
    <x v="3"/>
  </r>
  <r>
    <n v="1875"/>
    <d v="2024-01-14T01:25:00"/>
    <x v="0"/>
    <x v="0"/>
    <x v="2"/>
  </r>
  <r>
    <n v="1070"/>
    <d v="2024-03-15T17:53:00"/>
    <x v="1"/>
    <x v="0"/>
    <x v="3"/>
  </r>
  <r>
    <n v="1873"/>
    <d v="2024-03-04T04:03:00"/>
    <x v="1"/>
    <x v="0"/>
    <x v="0"/>
  </r>
  <r>
    <n v="1339"/>
    <d v="2024-02-17T00:27:00"/>
    <x v="0"/>
    <x v="1"/>
    <x v="0"/>
  </r>
  <r>
    <n v="1729"/>
    <d v="2024-01-13T09:52:00"/>
    <x v="0"/>
    <x v="0"/>
    <x v="4"/>
  </r>
  <r>
    <n v="1527"/>
    <d v="2024-03-26T20:38:00"/>
    <x v="0"/>
    <x v="1"/>
    <x v="0"/>
  </r>
  <r>
    <n v="1244"/>
    <d v="2024-03-03T06:06:00"/>
    <x v="0"/>
    <x v="0"/>
    <x v="2"/>
  </r>
  <r>
    <n v="1286"/>
    <d v="2024-01-05T06:10:00"/>
    <x v="0"/>
    <x v="1"/>
    <x v="0"/>
  </r>
  <r>
    <n v="1686"/>
    <d v="2024-03-23T09:05:00"/>
    <x v="1"/>
    <x v="0"/>
    <x v="0"/>
  </r>
  <r>
    <n v="1768"/>
    <d v="2024-03-02T03:19:00"/>
    <x v="1"/>
    <x v="1"/>
    <x v="1"/>
  </r>
  <r>
    <n v="1220"/>
    <d v="2024-02-21T15:31:00"/>
    <x v="1"/>
    <x v="2"/>
    <x v="0"/>
  </r>
  <r>
    <n v="1754"/>
    <d v="2024-03-26T08:05:00"/>
    <x v="0"/>
    <x v="1"/>
    <x v="2"/>
  </r>
  <r>
    <n v="1136"/>
    <d v="2024-03-24T17:24:00"/>
    <x v="0"/>
    <x v="1"/>
    <x v="4"/>
  </r>
  <r>
    <n v="1585"/>
    <d v="2024-01-25T11:56:00"/>
    <x v="1"/>
    <x v="1"/>
    <x v="4"/>
  </r>
  <r>
    <n v="1591"/>
    <d v="2024-02-19T11:11:00"/>
    <x v="0"/>
    <x v="1"/>
    <x v="2"/>
  </r>
  <r>
    <n v="1485"/>
    <d v="2024-02-28T01:16:00"/>
    <x v="1"/>
    <x v="2"/>
    <x v="4"/>
  </r>
  <r>
    <n v="1249"/>
    <d v="2024-02-27T14:16:00"/>
    <x v="1"/>
    <x v="0"/>
    <x v="4"/>
  </r>
  <r>
    <n v="1710"/>
    <d v="2024-01-30T08:36:00"/>
    <x v="1"/>
    <x v="1"/>
    <x v="2"/>
  </r>
  <r>
    <n v="1417"/>
    <d v="2024-01-09T04:48:00"/>
    <x v="0"/>
    <x v="0"/>
    <x v="1"/>
  </r>
  <r>
    <n v="1195"/>
    <d v="2024-03-31T21:06:00"/>
    <x v="0"/>
    <x v="0"/>
    <x v="2"/>
  </r>
  <r>
    <n v="1097"/>
    <d v="2024-01-12T21:22:00"/>
    <x v="1"/>
    <x v="1"/>
    <x v="2"/>
  </r>
  <r>
    <n v="1947"/>
    <d v="2024-03-11T13:48:00"/>
    <x v="0"/>
    <x v="2"/>
    <x v="3"/>
  </r>
  <r>
    <n v="1675"/>
    <d v="2024-03-17T07:35:00"/>
    <x v="0"/>
    <x v="2"/>
    <x v="0"/>
  </r>
  <r>
    <n v="1442"/>
    <d v="2024-01-09T12:52:00"/>
    <x v="1"/>
    <x v="0"/>
    <x v="4"/>
  </r>
  <r>
    <n v="1363"/>
    <d v="2024-03-08T13:34:00"/>
    <x v="0"/>
    <x v="0"/>
    <x v="0"/>
  </r>
  <r>
    <n v="1756"/>
    <d v="2024-03-29T15:36:00"/>
    <x v="1"/>
    <x v="1"/>
    <x v="4"/>
  </r>
  <r>
    <n v="1421"/>
    <d v="2024-02-01T15:19:00"/>
    <x v="1"/>
    <x v="0"/>
    <x v="0"/>
  </r>
  <r>
    <n v="1479"/>
    <d v="2024-01-12T12:57:00"/>
    <x v="1"/>
    <x v="0"/>
    <x v="2"/>
  </r>
  <r>
    <n v="1056"/>
    <d v="2024-01-06T16:36:00"/>
    <x v="1"/>
    <x v="2"/>
    <x v="4"/>
  </r>
  <r>
    <n v="1690"/>
    <d v="2024-03-08T18:43:00"/>
    <x v="0"/>
    <x v="0"/>
    <x v="0"/>
  </r>
  <r>
    <n v="1670"/>
    <d v="2024-03-21T04:07:00"/>
    <x v="0"/>
    <x v="1"/>
    <x v="4"/>
  </r>
  <r>
    <n v="1662"/>
    <d v="2024-02-28T05:10:00"/>
    <x v="1"/>
    <x v="1"/>
    <x v="2"/>
  </r>
  <r>
    <n v="1101"/>
    <d v="2024-01-29T06:08:00"/>
    <x v="0"/>
    <x v="1"/>
    <x v="2"/>
  </r>
  <r>
    <n v="1063"/>
    <d v="2024-01-07T13:05:00"/>
    <x v="1"/>
    <x v="0"/>
    <x v="2"/>
  </r>
  <r>
    <n v="1413"/>
    <d v="2024-03-29T13:12:00"/>
    <x v="1"/>
    <x v="1"/>
    <x v="0"/>
  </r>
  <r>
    <n v="1348"/>
    <d v="2024-03-22T04:53:00"/>
    <x v="0"/>
    <x v="0"/>
    <x v="4"/>
  </r>
  <r>
    <n v="1112"/>
    <d v="2024-03-18T08:20:00"/>
    <x v="0"/>
    <x v="0"/>
    <x v="0"/>
  </r>
  <r>
    <n v="1255"/>
    <d v="2024-01-10T02:24:00"/>
    <x v="0"/>
    <x v="1"/>
    <x v="0"/>
  </r>
  <r>
    <n v="1924"/>
    <d v="2024-03-13T12:35:00"/>
    <x v="1"/>
    <x v="0"/>
    <x v="3"/>
  </r>
  <r>
    <n v="1706"/>
    <d v="2024-02-12T08:33:00"/>
    <x v="1"/>
    <x v="0"/>
    <x v="2"/>
  </r>
  <r>
    <n v="1815"/>
    <d v="2024-02-29T00:50:00"/>
    <x v="1"/>
    <x v="2"/>
    <x v="2"/>
  </r>
  <r>
    <n v="1967"/>
    <d v="2024-03-31T19:37:00"/>
    <x v="1"/>
    <x v="1"/>
    <x v="0"/>
  </r>
  <r>
    <n v="1144"/>
    <d v="2024-03-08T13:07:00"/>
    <x v="0"/>
    <x v="2"/>
    <x v="3"/>
  </r>
  <r>
    <n v="1830"/>
    <d v="2024-02-24T04:09:00"/>
    <x v="0"/>
    <x v="1"/>
    <x v="0"/>
  </r>
  <r>
    <n v="1188"/>
    <d v="2024-03-14T18:37:00"/>
    <x v="1"/>
    <x v="0"/>
    <x v="4"/>
  </r>
  <r>
    <n v="1718"/>
    <d v="2024-01-14T03:36:00"/>
    <x v="1"/>
    <x v="1"/>
    <x v="2"/>
  </r>
  <r>
    <n v="1913"/>
    <d v="2024-01-14T09:55:00"/>
    <x v="1"/>
    <x v="2"/>
    <x v="1"/>
  </r>
  <r>
    <n v="1256"/>
    <d v="2024-03-10T11:56:00"/>
    <x v="1"/>
    <x v="1"/>
    <x v="2"/>
  </r>
  <r>
    <n v="1078"/>
    <d v="2024-02-23T08:24:00"/>
    <x v="0"/>
    <x v="0"/>
    <x v="0"/>
  </r>
  <r>
    <n v="1454"/>
    <d v="2024-03-25T15:36:00"/>
    <x v="1"/>
    <x v="2"/>
    <x v="2"/>
  </r>
  <r>
    <n v="1564"/>
    <d v="2024-03-19T15:02:00"/>
    <x v="0"/>
    <x v="2"/>
    <x v="0"/>
  </r>
  <r>
    <n v="1990"/>
    <d v="2024-01-24T08:25:00"/>
    <x v="1"/>
    <x v="0"/>
    <x v="0"/>
  </r>
  <r>
    <n v="1052"/>
    <d v="2024-01-20T19:38:00"/>
    <x v="1"/>
    <x v="0"/>
    <x v="0"/>
  </r>
  <r>
    <n v="1668"/>
    <d v="2024-03-29T22:25:00"/>
    <x v="0"/>
    <x v="1"/>
    <x v="1"/>
  </r>
  <r>
    <n v="1554"/>
    <d v="2024-01-06T12:56:00"/>
    <x v="1"/>
    <x v="0"/>
    <x v="1"/>
  </r>
  <r>
    <n v="1016"/>
    <d v="2024-02-13T22:15:00"/>
    <x v="0"/>
    <x v="0"/>
    <x v="2"/>
  </r>
  <r>
    <n v="1981"/>
    <d v="2024-01-08T23:30:00"/>
    <x v="0"/>
    <x v="0"/>
    <x v="1"/>
  </r>
  <r>
    <n v="1243"/>
    <d v="2024-02-05T11:01:00"/>
    <x v="1"/>
    <x v="1"/>
    <x v="1"/>
  </r>
  <r>
    <n v="1171"/>
    <d v="2024-02-14T09:19:00"/>
    <x v="1"/>
    <x v="0"/>
    <x v="1"/>
  </r>
  <r>
    <n v="1752"/>
    <d v="2024-02-06T15:54:00"/>
    <x v="1"/>
    <x v="0"/>
    <x v="0"/>
  </r>
  <r>
    <n v="1716"/>
    <d v="2024-03-31T21:06:00"/>
    <x v="1"/>
    <x v="0"/>
    <x v="1"/>
  </r>
  <r>
    <n v="1493"/>
    <d v="2024-01-31T04:19:00"/>
    <x v="0"/>
    <x v="0"/>
    <x v="4"/>
  </r>
  <r>
    <n v="1219"/>
    <d v="2024-02-27T10:17:00"/>
    <x v="1"/>
    <x v="0"/>
    <x v="2"/>
  </r>
  <r>
    <n v="1870"/>
    <d v="2024-02-24T19:41:00"/>
    <x v="1"/>
    <x v="1"/>
    <x v="4"/>
  </r>
  <r>
    <n v="1726"/>
    <d v="2024-01-13T06:28:00"/>
    <x v="1"/>
    <x v="1"/>
    <x v="4"/>
  </r>
  <r>
    <n v="1169"/>
    <d v="2024-01-29T13:47:00"/>
    <x v="0"/>
    <x v="0"/>
    <x v="2"/>
  </r>
  <r>
    <n v="1887"/>
    <d v="2024-03-04T16:55:00"/>
    <x v="1"/>
    <x v="0"/>
    <x v="0"/>
  </r>
  <r>
    <n v="1003"/>
    <d v="2024-02-18T01:32:00"/>
    <x v="1"/>
    <x v="1"/>
    <x v="0"/>
  </r>
  <r>
    <n v="1400"/>
    <d v="2024-01-22T02:19:00"/>
    <x v="1"/>
    <x v="0"/>
    <x v="4"/>
  </r>
  <r>
    <n v="1989"/>
    <d v="2024-03-06T12:08:00"/>
    <x v="0"/>
    <x v="1"/>
    <x v="4"/>
  </r>
  <r>
    <n v="1466"/>
    <d v="2024-03-09T18:01:00"/>
    <x v="0"/>
    <x v="0"/>
    <x v="3"/>
  </r>
  <r>
    <n v="1293"/>
    <d v="2024-01-24T06:56:00"/>
    <x v="1"/>
    <x v="2"/>
    <x v="4"/>
  </r>
  <r>
    <n v="1898"/>
    <d v="2024-01-27T01:15:00"/>
    <x v="1"/>
    <x v="0"/>
    <x v="3"/>
  </r>
  <r>
    <n v="1570"/>
    <d v="2024-01-06T14:03:00"/>
    <x v="0"/>
    <x v="1"/>
    <x v="0"/>
  </r>
  <r>
    <n v="1499"/>
    <d v="2024-02-17T22:12:00"/>
    <x v="1"/>
    <x v="0"/>
    <x v="2"/>
  </r>
  <r>
    <n v="1159"/>
    <d v="2024-02-06T11:52:00"/>
    <x v="0"/>
    <x v="2"/>
    <x v="2"/>
  </r>
  <r>
    <n v="1717"/>
    <d v="2024-03-01T16:25:00"/>
    <x v="1"/>
    <x v="0"/>
    <x v="4"/>
  </r>
  <r>
    <n v="1304"/>
    <d v="2024-03-23T03:43:00"/>
    <x v="1"/>
    <x v="1"/>
    <x v="1"/>
  </r>
  <r>
    <n v="1223"/>
    <d v="2024-01-05T07:23:00"/>
    <x v="0"/>
    <x v="0"/>
    <x v="1"/>
  </r>
  <r>
    <n v="1838"/>
    <d v="2024-03-04T19:28:00"/>
    <x v="0"/>
    <x v="1"/>
    <x v="2"/>
  </r>
  <r>
    <n v="1594"/>
    <d v="2024-01-24T15:37:00"/>
    <x v="0"/>
    <x v="0"/>
    <x v="0"/>
  </r>
  <r>
    <n v="1556"/>
    <d v="2024-03-12T11:22:00"/>
    <x v="0"/>
    <x v="0"/>
    <x v="2"/>
  </r>
  <r>
    <n v="1692"/>
    <d v="2024-01-22T08:47:00"/>
    <x v="0"/>
    <x v="1"/>
    <x v="3"/>
  </r>
  <r>
    <n v="1322"/>
    <d v="2024-03-30T02:18:00"/>
    <x v="1"/>
    <x v="1"/>
    <x v="4"/>
  </r>
  <r>
    <n v="1059"/>
    <d v="2024-01-05T12:03:00"/>
    <x v="0"/>
    <x v="2"/>
    <x v="2"/>
  </r>
  <r>
    <n v="1673"/>
    <d v="2024-01-22T18:49:00"/>
    <x v="0"/>
    <x v="2"/>
    <x v="2"/>
  </r>
  <r>
    <n v="1848"/>
    <d v="2024-01-29T07:41:00"/>
    <x v="1"/>
    <x v="0"/>
    <x v="3"/>
  </r>
  <r>
    <n v="1489"/>
    <d v="2024-01-30T21:13:00"/>
    <x v="1"/>
    <x v="1"/>
    <x v="4"/>
  </r>
  <r>
    <n v="1515"/>
    <d v="2024-02-05T20:26:00"/>
    <x v="0"/>
    <x v="1"/>
    <x v="0"/>
  </r>
  <r>
    <n v="1784"/>
    <d v="2024-03-07T00:55:00"/>
    <x v="0"/>
    <x v="1"/>
    <x v="3"/>
  </r>
  <r>
    <n v="1806"/>
    <d v="2024-03-29T00:30:00"/>
    <x v="1"/>
    <x v="1"/>
    <x v="4"/>
  </r>
  <r>
    <n v="1877"/>
    <d v="2024-01-18T20:11:00"/>
    <x v="1"/>
    <x v="1"/>
    <x v="4"/>
  </r>
  <r>
    <n v="1521"/>
    <d v="2024-03-18T00:14:00"/>
    <x v="1"/>
    <x v="0"/>
    <x v="0"/>
  </r>
  <r>
    <n v="1083"/>
    <d v="2024-02-03T19:51:00"/>
    <x v="0"/>
    <x v="1"/>
    <x v="4"/>
  </r>
  <r>
    <n v="1191"/>
    <d v="2024-02-10T22:45:00"/>
    <x v="0"/>
    <x v="0"/>
    <x v="0"/>
  </r>
  <r>
    <n v="1767"/>
    <d v="2024-03-24T08:27:00"/>
    <x v="1"/>
    <x v="2"/>
    <x v="4"/>
  </r>
  <r>
    <n v="1610"/>
    <d v="2024-02-19T11:29:00"/>
    <x v="1"/>
    <x v="0"/>
    <x v="3"/>
  </r>
  <r>
    <n v="1724"/>
    <d v="2024-02-03T06:29:00"/>
    <x v="1"/>
    <x v="2"/>
    <x v="0"/>
  </r>
  <r>
    <n v="1241"/>
    <d v="2024-02-09T21:33:00"/>
    <x v="1"/>
    <x v="0"/>
    <x v="3"/>
  </r>
  <r>
    <n v="1414"/>
    <d v="2024-03-21T12:37:00"/>
    <x v="1"/>
    <x v="2"/>
    <x v="0"/>
  </r>
  <r>
    <n v="1123"/>
    <d v="2024-01-15T00:32:00"/>
    <x v="0"/>
    <x v="2"/>
    <x v="1"/>
  </r>
  <r>
    <n v="1584"/>
    <d v="2024-03-26T11:35:00"/>
    <x v="0"/>
    <x v="0"/>
    <x v="3"/>
  </r>
  <r>
    <n v="1854"/>
    <d v="2024-03-24T19:38:00"/>
    <x v="1"/>
    <x v="2"/>
    <x v="2"/>
  </r>
  <r>
    <n v="1593"/>
    <d v="2024-02-07T09:43:00"/>
    <x v="0"/>
    <x v="0"/>
    <x v="4"/>
  </r>
  <r>
    <n v="1609"/>
    <d v="2024-01-15T15:04:00"/>
    <x v="0"/>
    <x v="0"/>
    <x v="0"/>
  </r>
  <r>
    <n v="1041"/>
    <d v="2024-02-14T08:40:00"/>
    <x v="0"/>
    <x v="0"/>
    <x v="2"/>
  </r>
  <r>
    <n v="1084"/>
    <d v="2024-02-12T08:16:00"/>
    <x v="0"/>
    <x v="1"/>
    <x v="4"/>
  </r>
  <r>
    <n v="1969"/>
    <d v="2024-03-25T22:57:00"/>
    <x v="1"/>
    <x v="1"/>
    <x v="4"/>
  </r>
  <r>
    <n v="1846"/>
    <d v="2024-03-25T09:12:00"/>
    <x v="0"/>
    <x v="0"/>
    <x v="4"/>
  </r>
  <r>
    <n v="1579"/>
    <d v="2024-01-21T16:48:00"/>
    <x v="0"/>
    <x v="0"/>
    <x v="0"/>
  </r>
  <r>
    <n v="1536"/>
    <d v="2024-02-01T01:51:00"/>
    <x v="1"/>
    <x v="2"/>
    <x v="4"/>
  </r>
  <r>
    <n v="1871"/>
    <d v="2024-03-18T12:42:00"/>
    <x v="0"/>
    <x v="0"/>
    <x v="4"/>
  </r>
  <r>
    <n v="1268"/>
    <d v="2024-02-11T21:08:00"/>
    <x v="1"/>
    <x v="0"/>
    <x v="4"/>
  </r>
  <r>
    <n v="1210"/>
    <d v="2024-01-05T20:31:00"/>
    <x v="0"/>
    <x v="2"/>
    <x v="4"/>
  </r>
  <r>
    <n v="1642"/>
    <d v="2024-02-08T08:58:00"/>
    <x v="0"/>
    <x v="0"/>
    <x v="0"/>
  </r>
  <r>
    <n v="1245"/>
    <d v="2024-02-24T12:24:00"/>
    <x v="0"/>
    <x v="2"/>
    <x v="2"/>
  </r>
  <r>
    <n v="1885"/>
    <d v="2024-01-06T18:45:00"/>
    <x v="1"/>
    <x v="0"/>
    <x v="4"/>
  </r>
  <r>
    <n v="1860"/>
    <d v="2024-03-15T06:21:00"/>
    <x v="0"/>
    <x v="0"/>
    <x v="0"/>
  </r>
  <r>
    <n v="1135"/>
    <d v="2024-01-30T21:34:00"/>
    <x v="1"/>
    <x v="0"/>
    <x v="2"/>
  </r>
  <r>
    <n v="1308"/>
    <d v="2024-03-23T15:58:00"/>
    <x v="0"/>
    <x v="0"/>
    <x v="2"/>
  </r>
  <r>
    <n v="1469"/>
    <d v="2024-03-27T11:32:00"/>
    <x v="0"/>
    <x v="1"/>
    <x v="4"/>
  </r>
  <r>
    <n v="1952"/>
    <d v="2024-02-09T05:53:00"/>
    <x v="1"/>
    <x v="1"/>
    <x v="4"/>
  </r>
  <r>
    <n v="1075"/>
    <d v="2024-03-26T17:11:00"/>
    <x v="1"/>
    <x v="2"/>
    <x v="0"/>
  </r>
  <r>
    <n v="1010"/>
    <d v="2024-02-08T03:30:00"/>
    <x v="1"/>
    <x v="0"/>
    <x v="4"/>
  </r>
  <r>
    <n v="1858"/>
    <d v="2024-01-18T23:16:00"/>
    <x v="0"/>
    <x v="0"/>
    <x v="4"/>
  </r>
  <r>
    <n v="1577"/>
    <d v="2024-03-13T05:43:00"/>
    <x v="0"/>
    <x v="1"/>
    <x v="0"/>
  </r>
  <r>
    <n v="1103"/>
    <d v="2024-02-13T20:05:00"/>
    <x v="0"/>
    <x v="0"/>
    <x v="2"/>
  </r>
  <r>
    <n v="1076"/>
    <d v="2024-01-30T11:14:00"/>
    <x v="1"/>
    <x v="1"/>
    <x v="1"/>
  </r>
  <r>
    <n v="1551"/>
    <d v="2024-02-10T13:50:00"/>
    <x v="1"/>
    <x v="0"/>
    <x v="2"/>
  </r>
  <r>
    <n v="1663"/>
    <d v="2024-02-13T11:16:00"/>
    <x v="1"/>
    <x v="1"/>
    <x v="1"/>
  </r>
  <r>
    <n v="1519"/>
    <d v="2024-03-16T09:29:00"/>
    <x v="1"/>
    <x v="0"/>
    <x v="2"/>
  </r>
  <r>
    <n v="1621"/>
    <d v="2024-01-17T15:03:00"/>
    <x v="0"/>
    <x v="2"/>
    <x v="4"/>
  </r>
  <r>
    <n v="1713"/>
    <d v="2024-03-23T18:37:00"/>
    <x v="0"/>
    <x v="1"/>
    <x v="2"/>
  </r>
  <r>
    <n v="1358"/>
    <d v="2024-03-21T02:30:00"/>
    <x v="1"/>
    <x v="1"/>
    <x v="4"/>
  </r>
  <r>
    <n v="1630"/>
    <d v="2024-01-26T16:07:00"/>
    <x v="0"/>
    <x v="2"/>
    <x v="4"/>
  </r>
  <r>
    <n v="1890"/>
    <d v="2024-03-29T12:33:00"/>
    <x v="0"/>
    <x v="0"/>
    <x v="4"/>
  </r>
  <r>
    <n v="1379"/>
    <d v="2024-02-09T13:03:00"/>
    <x v="1"/>
    <x v="0"/>
    <x v="1"/>
  </r>
  <r>
    <n v="1292"/>
    <d v="2024-01-21T04:12:00"/>
    <x v="0"/>
    <x v="0"/>
    <x v="4"/>
  </r>
  <r>
    <n v="1635"/>
    <d v="2024-02-14T13:36:00"/>
    <x v="0"/>
    <x v="1"/>
    <x v="4"/>
  </r>
  <r>
    <n v="1744"/>
    <d v="2024-02-29T04:20:00"/>
    <x v="0"/>
    <x v="1"/>
    <x v="0"/>
  </r>
  <r>
    <n v="1557"/>
    <d v="2024-01-25T02:31:00"/>
    <x v="0"/>
    <x v="1"/>
    <x v="0"/>
  </r>
  <r>
    <n v="1310"/>
    <d v="2024-02-13T20:11:00"/>
    <x v="0"/>
    <x v="0"/>
    <x v="2"/>
  </r>
  <r>
    <n v="1823"/>
    <d v="2024-02-11T20:03:00"/>
    <x v="0"/>
    <x v="1"/>
    <x v="4"/>
  </r>
  <r>
    <n v="1009"/>
    <d v="2024-01-02T14:17:00"/>
    <x v="1"/>
    <x v="1"/>
    <x v="4"/>
  </r>
  <r>
    <n v="1973"/>
    <d v="2024-01-28T05:36:00"/>
    <x v="1"/>
    <x v="0"/>
    <x v="4"/>
  </r>
  <r>
    <n v="1307"/>
    <d v="2024-01-22T15:50:00"/>
    <x v="0"/>
    <x v="2"/>
    <x v="0"/>
  </r>
  <r>
    <n v="1107"/>
    <d v="2024-01-13T04:39:00"/>
    <x v="0"/>
    <x v="1"/>
    <x v="4"/>
  </r>
  <r>
    <n v="1138"/>
    <d v="2024-02-26T20:27:00"/>
    <x v="1"/>
    <x v="0"/>
    <x v="0"/>
  </r>
  <r>
    <n v="1942"/>
    <d v="2024-02-22T13:30:00"/>
    <x v="1"/>
    <x v="0"/>
    <x v="2"/>
  </r>
  <r>
    <n v="1119"/>
    <d v="2024-02-20T00:02:00"/>
    <x v="1"/>
    <x v="0"/>
    <x v="2"/>
  </r>
  <r>
    <n v="1110"/>
    <d v="2024-03-10T06:46:00"/>
    <x v="0"/>
    <x v="0"/>
    <x v="3"/>
  </r>
  <r>
    <n v="1821"/>
    <d v="2024-02-18T00:57:00"/>
    <x v="1"/>
    <x v="0"/>
    <x v="0"/>
  </r>
  <r>
    <n v="1954"/>
    <d v="2024-02-12T16:12:00"/>
    <x v="1"/>
    <x v="0"/>
    <x v="2"/>
  </r>
  <r>
    <n v="1279"/>
    <d v="2024-01-04T21:00:00"/>
    <x v="1"/>
    <x v="0"/>
    <x v="1"/>
  </r>
  <r>
    <n v="1289"/>
    <d v="2024-03-22T23:15:00"/>
    <x v="0"/>
    <x v="1"/>
    <x v="4"/>
  </r>
  <r>
    <n v="1216"/>
    <d v="2024-01-30T22:56:00"/>
    <x v="0"/>
    <x v="0"/>
    <x v="1"/>
  </r>
  <r>
    <n v="1352"/>
    <d v="2024-02-15T09:08:00"/>
    <x v="1"/>
    <x v="0"/>
    <x v="4"/>
  </r>
  <r>
    <n v="1209"/>
    <d v="2024-01-15T12:32:00"/>
    <x v="0"/>
    <x v="2"/>
    <x v="2"/>
  </r>
  <r>
    <n v="1600"/>
    <d v="2024-03-17T09:10:00"/>
    <x v="0"/>
    <x v="1"/>
    <x v="1"/>
  </r>
  <r>
    <n v="1978"/>
    <d v="2024-01-10T01:19:00"/>
    <x v="0"/>
    <x v="0"/>
    <x v="1"/>
  </r>
  <r>
    <n v="1780"/>
    <d v="2024-02-08T14:46:00"/>
    <x v="1"/>
    <x v="1"/>
    <x v="1"/>
  </r>
  <r>
    <n v="1822"/>
    <d v="2024-03-08T19:33:00"/>
    <x v="0"/>
    <x v="2"/>
    <x v="0"/>
  </r>
  <r>
    <n v="1053"/>
    <d v="2024-02-14T13:56:00"/>
    <x v="1"/>
    <x v="0"/>
    <x v="3"/>
  </r>
  <r>
    <n v="1949"/>
    <d v="2024-03-29T04:21:00"/>
    <x v="1"/>
    <x v="1"/>
    <x v="2"/>
  </r>
  <r>
    <n v="1653"/>
    <d v="2024-03-04T11:48:00"/>
    <x v="1"/>
    <x v="0"/>
    <x v="3"/>
  </r>
  <r>
    <n v="1284"/>
    <d v="2024-01-26T05:58:00"/>
    <x v="0"/>
    <x v="0"/>
    <x v="4"/>
  </r>
  <r>
    <n v="1046"/>
    <d v="2024-02-22T00:14:00"/>
    <x v="1"/>
    <x v="0"/>
    <x v="4"/>
  </r>
  <r>
    <n v="1804"/>
    <d v="2024-01-30T23:08:00"/>
    <x v="1"/>
    <x v="1"/>
    <x v="2"/>
  </r>
  <r>
    <n v="1342"/>
    <d v="2024-01-29T23:01:00"/>
    <x v="0"/>
    <x v="1"/>
    <x v="4"/>
  </r>
  <r>
    <n v="1134"/>
    <d v="2024-03-17T16:10:00"/>
    <x v="0"/>
    <x v="1"/>
    <x v="0"/>
  </r>
  <r>
    <n v="1269"/>
    <d v="2024-01-17T11:45:00"/>
    <x v="0"/>
    <x v="1"/>
    <x v="3"/>
  </r>
  <r>
    <n v="1786"/>
    <d v="2024-03-25T01:24:00"/>
    <x v="1"/>
    <x v="1"/>
    <x v="1"/>
  </r>
  <r>
    <n v="1453"/>
    <d v="2024-03-23T08:49:00"/>
    <x v="0"/>
    <x v="0"/>
    <x v="0"/>
  </r>
  <r>
    <n v="1438"/>
    <d v="2024-03-10T19:03:00"/>
    <x v="1"/>
    <x v="0"/>
    <x v="4"/>
  </r>
  <r>
    <n v="1602"/>
    <d v="2024-03-18T01:42:00"/>
    <x v="0"/>
    <x v="0"/>
    <x v="2"/>
  </r>
  <r>
    <n v="1961"/>
    <d v="2024-01-15T20:53:00"/>
    <x v="0"/>
    <x v="0"/>
    <x v="4"/>
  </r>
  <r>
    <n v="1677"/>
    <d v="2024-01-04T01:44:00"/>
    <x v="0"/>
    <x v="1"/>
    <x v="2"/>
  </r>
  <r>
    <n v="1153"/>
    <d v="2024-01-16T13:28:00"/>
    <x v="0"/>
    <x v="1"/>
    <x v="4"/>
  </r>
  <r>
    <n v="1037"/>
    <d v="2024-02-19T03:35:00"/>
    <x v="0"/>
    <x v="1"/>
    <x v="3"/>
  </r>
  <r>
    <n v="1589"/>
    <d v="2024-02-03T15:44:00"/>
    <x v="0"/>
    <x v="1"/>
    <x v="2"/>
  </r>
  <r>
    <n v="1152"/>
    <d v="2024-01-21T06:44:00"/>
    <x v="0"/>
    <x v="0"/>
    <x v="0"/>
  </r>
  <r>
    <n v="1441"/>
    <d v="2024-03-29T20:00:00"/>
    <x v="0"/>
    <x v="2"/>
    <x v="2"/>
  </r>
  <r>
    <n v="1131"/>
    <d v="2024-02-09T13:42:00"/>
    <x v="0"/>
    <x v="1"/>
    <x v="0"/>
  </r>
  <r>
    <n v="1043"/>
    <d v="2024-01-14T21:33:00"/>
    <x v="0"/>
    <x v="1"/>
    <x v="3"/>
  </r>
  <r>
    <n v="1316"/>
    <d v="2024-02-05T19:38:00"/>
    <x v="1"/>
    <x v="0"/>
    <x v="2"/>
  </r>
  <r>
    <n v="1906"/>
    <d v="2024-03-31T04:26:00"/>
    <x v="1"/>
    <x v="1"/>
    <x v="4"/>
  </r>
  <r>
    <n v="1620"/>
    <d v="2024-01-15T16:46:00"/>
    <x v="1"/>
    <x v="0"/>
    <x v="0"/>
  </r>
  <r>
    <n v="1367"/>
    <d v="2024-03-21T03:18:00"/>
    <x v="1"/>
    <x v="1"/>
    <x v="0"/>
  </r>
  <r>
    <n v="1652"/>
    <d v="2024-01-16T03:31:00"/>
    <x v="1"/>
    <x v="0"/>
    <x v="1"/>
  </r>
  <r>
    <n v="1920"/>
    <d v="2024-01-27T19:12:00"/>
    <x v="0"/>
    <x v="1"/>
    <x v="2"/>
  </r>
  <r>
    <n v="1106"/>
    <d v="2024-02-04T16:12:00"/>
    <x v="0"/>
    <x v="0"/>
    <x v="2"/>
  </r>
  <r>
    <n v="1701"/>
    <d v="2024-02-16T22:26:00"/>
    <x v="1"/>
    <x v="1"/>
    <x v="1"/>
  </r>
  <r>
    <n v="1746"/>
    <d v="2024-02-08T05:02:00"/>
    <x v="1"/>
    <x v="2"/>
    <x v="4"/>
  </r>
  <r>
    <n v="1650"/>
    <d v="2024-03-12T15:58:00"/>
    <x v="0"/>
    <x v="1"/>
    <x v="3"/>
  </r>
  <r>
    <n v="1862"/>
    <d v="2024-01-28T22:59:00"/>
    <x v="0"/>
    <x v="0"/>
    <x v="0"/>
  </r>
  <r>
    <n v="1905"/>
    <d v="2024-03-03T10:15:00"/>
    <x v="0"/>
    <x v="1"/>
    <x v="4"/>
  </r>
  <r>
    <n v="1182"/>
    <d v="2024-01-02T00:42:00"/>
    <x v="0"/>
    <x v="2"/>
    <x v="2"/>
  </r>
  <r>
    <n v="1423"/>
    <d v="2024-01-13T03:53:00"/>
    <x v="0"/>
    <x v="1"/>
    <x v="4"/>
  </r>
  <r>
    <n v="1998"/>
    <d v="2024-03-15T21:31:00"/>
    <x v="0"/>
    <x v="2"/>
    <x v="0"/>
  </r>
  <r>
    <n v="1184"/>
    <d v="2024-01-21T02:49:00"/>
    <x v="1"/>
    <x v="0"/>
    <x v="0"/>
  </r>
  <r>
    <n v="1341"/>
    <d v="2024-03-07T02:46:00"/>
    <x v="0"/>
    <x v="0"/>
    <x v="1"/>
  </r>
  <r>
    <n v="1422"/>
    <d v="2024-01-14T08:41:00"/>
    <x v="1"/>
    <x v="1"/>
    <x v="0"/>
  </r>
  <r>
    <n v="1963"/>
    <d v="2024-01-31T14:18:00"/>
    <x v="0"/>
    <x v="0"/>
    <x v="3"/>
  </r>
  <r>
    <n v="1813"/>
    <d v="2024-02-04T14:03:00"/>
    <x v="0"/>
    <x v="1"/>
    <x v="0"/>
  </r>
  <r>
    <n v="1833"/>
    <d v="2024-01-14T05:55:00"/>
    <x v="0"/>
    <x v="1"/>
    <x v="0"/>
  </r>
  <r>
    <n v="1111"/>
    <d v="2024-01-07T09:23:00"/>
    <x v="0"/>
    <x v="1"/>
    <x v="2"/>
  </r>
  <r>
    <n v="1392"/>
    <d v="2024-03-28T10:27:00"/>
    <x v="0"/>
    <x v="0"/>
    <x v="0"/>
  </r>
  <r>
    <n v="1040"/>
    <d v="2024-01-16T03:54:00"/>
    <x v="0"/>
    <x v="2"/>
    <x v="0"/>
  </r>
  <r>
    <n v="1482"/>
    <d v="2024-01-07T00:54:00"/>
    <x v="1"/>
    <x v="1"/>
    <x v="1"/>
  </r>
  <r>
    <n v="1228"/>
    <d v="2024-01-19T21:41:00"/>
    <x v="0"/>
    <x v="1"/>
    <x v="2"/>
  </r>
  <r>
    <n v="1205"/>
    <d v="2024-01-23T10:22:00"/>
    <x v="1"/>
    <x v="1"/>
    <x v="2"/>
  </r>
  <r>
    <n v="1472"/>
    <d v="2024-02-27T19:17:00"/>
    <x v="1"/>
    <x v="1"/>
    <x v="0"/>
  </r>
  <r>
    <n v="1359"/>
    <d v="2024-01-13T11:52:00"/>
    <x v="1"/>
    <x v="0"/>
    <x v="2"/>
  </r>
  <r>
    <n v="1313"/>
    <d v="2024-02-14T05:07:00"/>
    <x v="0"/>
    <x v="0"/>
    <x v="4"/>
  </r>
  <r>
    <n v="1816"/>
    <d v="2024-02-22T12:29:00"/>
    <x v="0"/>
    <x v="1"/>
    <x v="2"/>
  </r>
  <r>
    <n v="1408"/>
    <d v="2024-02-05T12:44:00"/>
    <x v="0"/>
    <x v="1"/>
    <x v="1"/>
  </r>
  <r>
    <n v="1447"/>
    <d v="2024-03-03T13:41:00"/>
    <x v="1"/>
    <x v="1"/>
    <x v="1"/>
  </r>
  <r>
    <n v="1117"/>
    <d v="2024-01-23T03:08:00"/>
    <x v="1"/>
    <x v="0"/>
    <x v="0"/>
  </r>
  <r>
    <n v="1685"/>
    <d v="2024-03-31T23:03:00"/>
    <x v="1"/>
    <x v="0"/>
    <x v="1"/>
  </r>
  <r>
    <n v="1013"/>
    <d v="2024-01-22T03:26:00"/>
    <x v="1"/>
    <x v="2"/>
    <x v="0"/>
  </r>
  <r>
    <n v="1338"/>
    <d v="2024-03-17T15:51:00"/>
    <x v="1"/>
    <x v="2"/>
    <x v="4"/>
  </r>
  <r>
    <n v="1099"/>
    <d v="2024-03-14T21:28:00"/>
    <x v="0"/>
    <x v="0"/>
    <x v="4"/>
  </r>
  <r>
    <n v="1637"/>
    <d v="2024-01-25T19:24:00"/>
    <x v="1"/>
    <x v="0"/>
    <x v="2"/>
  </r>
  <r>
    <n v="1660"/>
    <d v="2024-02-16T19:01:00"/>
    <x v="1"/>
    <x v="0"/>
    <x v="3"/>
  </r>
  <r>
    <n v="1928"/>
    <d v="2024-03-29T23:57:00"/>
    <x v="1"/>
    <x v="0"/>
    <x v="0"/>
  </r>
  <r>
    <n v="1443"/>
    <d v="2024-01-18T15:58:00"/>
    <x v="0"/>
    <x v="0"/>
    <x v="4"/>
  </r>
  <r>
    <n v="1036"/>
    <d v="2024-03-04T03:56:00"/>
    <x v="1"/>
    <x v="0"/>
    <x v="0"/>
  </r>
  <r>
    <n v="1496"/>
    <d v="2024-02-23T14:02:00"/>
    <x v="0"/>
    <x v="0"/>
    <x v="1"/>
  </r>
  <r>
    <n v="1396"/>
    <d v="2024-01-10T08:41:00"/>
    <x v="1"/>
    <x v="0"/>
    <x v="4"/>
  </r>
  <r>
    <n v="1565"/>
    <d v="2024-02-11T00:45:00"/>
    <x v="0"/>
    <x v="0"/>
    <x v="2"/>
  </r>
  <r>
    <n v="1180"/>
    <d v="2024-03-28T16:49:00"/>
    <x v="0"/>
    <x v="1"/>
    <x v="4"/>
  </r>
  <r>
    <n v="1329"/>
    <d v="2024-03-15T23:36:00"/>
    <x v="0"/>
    <x v="0"/>
    <x v="4"/>
  </r>
  <r>
    <n v="1261"/>
    <d v="2024-01-30T21:55:00"/>
    <x v="1"/>
    <x v="1"/>
    <x v="1"/>
  </r>
  <r>
    <n v="1503"/>
    <d v="2024-02-14T16:33:00"/>
    <x v="0"/>
    <x v="0"/>
    <x v="0"/>
  </r>
  <r>
    <n v="1696"/>
    <d v="2024-03-30T22:39:00"/>
    <x v="1"/>
    <x v="0"/>
    <x v="0"/>
  </r>
  <r>
    <n v="1432"/>
    <d v="2024-01-14T13:42:00"/>
    <x v="1"/>
    <x v="1"/>
    <x v="3"/>
  </r>
  <r>
    <n v="1869"/>
    <d v="2024-02-02T15:22:00"/>
    <x v="1"/>
    <x v="0"/>
    <x v="4"/>
  </r>
  <r>
    <n v="1997"/>
    <d v="2024-03-26T21:41:00"/>
    <x v="1"/>
    <x v="1"/>
    <x v="4"/>
  </r>
  <r>
    <n v="1481"/>
    <d v="2024-02-20T04:53:00"/>
    <x v="1"/>
    <x v="1"/>
    <x v="4"/>
  </r>
  <r>
    <n v="1015"/>
    <d v="2024-03-13T19:03:00"/>
    <x v="0"/>
    <x v="0"/>
    <x v="4"/>
  </r>
  <r>
    <n v="1646"/>
    <d v="2024-01-03T20:59:00"/>
    <x v="1"/>
    <x v="0"/>
    <x v="0"/>
  </r>
  <r>
    <n v="1450"/>
    <d v="2024-01-22T16:54:00"/>
    <x v="0"/>
    <x v="0"/>
    <x v="2"/>
  </r>
  <r>
    <n v="1930"/>
    <d v="2024-03-02T15:55:00"/>
    <x v="0"/>
    <x v="0"/>
    <x v="4"/>
  </r>
  <r>
    <n v="1092"/>
    <d v="2024-01-23T02:48:00"/>
    <x v="1"/>
    <x v="0"/>
    <x v="0"/>
  </r>
  <r>
    <n v="1298"/>
    <d v="2024-03-04T10:15:00"/>
    <x v="0"/>
    <x v="1"/>
    <x v="4"/>
  </r>
  <r>
    <n v="1757"/>
    <d v="2024-02-13T08:03:00"/>
    <x v="1"/>
    <x v="0"/>
    <x v="2"/>
  </r>
  <r>
    <n v="1779"/>
    <d v="2024-03-06T07:35:00"/>
    <x v="1"/>
    <x v="0"/>
    <x v="1"/>
  </r>
  <r>
    <n v="1819"/>
    <d v="2024-03-24T12:25:00"/>
    <x v="0"/>
    <x v="0"/>
    <x v="4"/>
  </r>
  <r>
    <n v="1794"/>
    <d v="2024-02-01T02:29:00"/>
    <x v="1"/>
    <x v="0"/>
    <x v="4"/>
  </r>
  <r>
    <n v="1727"/>
    <d v="2024-02-27T18:28:00"/>
    <x v="0"/>
    <x v="0"/>
    <x v="4"/>
  </r>
  <r>
    <n v="1177"/>
    <d v="2024-01-13T15:28:00"/>
    <x v="1"/>
    <x v="1"/>
    <x v="3"/>
  </r>
  <r>
    <n v="1540"/>
    <d v="2024-02-11T03:31:00"/>
    <x v="0"/>
    <x v="1"/>
    <x v="4"/>
  </r>
  <r>
    <n v="1403"/>
    <d v="2024-03-25T00:06:00"/>
    <x v="0"/>
    <x v="1"/>
    <x v="1"/>
  </r>
  <r>
    <n v="1161"/>
    <d v="2024-02-22T13:02:00"/>
    <x v="0"/>
    <x v="1"/>
    <x v="1"/>
  </r>
  <r>
    <n v="1980"/>
    <d v="2024-03-13T17:00:00"/>
    <x v="1"/>
    <x v="2"/>
    <x v="2"/>
  </r>
  <r>
    <n v="1311"/>
    <d v="2024-01-13T19:39:00"/>
    <x v="0"/>
    <x v="1"/>
    <x v="4"/>
  </r>
  <r>
    <n v="1262"/>
    <d v="2024-03-23T09:56:00"/>
    <x v="1"/>
    <x v="0"/>
    <x v="4"/>
  </r>
  <r>
    <n v="1708"/>
    <d v="2024-03-07T17:13:00"/>
    <x v="1"/>
    <x v="1"/>
    <x v="4"/>
  </r>
  <r>
    <n v="1198"/>
    <d v="2024-03-25T21:29:00"/>
    <x v="1"/>
    <x v="0"/>
    <x v="1"/>
  </r>
  <r>
    <n v="1461"/>
    <d v="2024-02-14T11:52:00"/>
    <x v="0"/>
    <x v="0"/>
    <x v="0"/>
  </r>
  <r>
    <n v="1296"/>
    <d v="2024-01-08T07:54:00"/>
    <x v="1"/>
    <x v="2"/>
    <x v="2"/>
  </r>
  <r>
    <n v="1098"/>
    <d v="2024-02-29T10:35:00"/>
    <x v="0"/>
    <x v="0"/>
    <x v="1"/>
  </r>
  <r>
    <n v="1543"/>
    <d v="2024-03-21T19:30:00"/>
    <x v="0"/>
    <x v="1"/>
    <x v="4"/>
  </r>
  <r>
    <n v="1023"/>
    <d v="2024-03-26T11:45:00"/>
    <x v="0"/>
    <x v="0"/>
    <x v="0"/>
  </r>
  <r>
    <n v="1534"/>
    <d v="2024-02-28T03:06:00"/>
    <x v="1"/>
    <x v="1"/>
    <x v="4"/>
  </r>
  <r>
    <n v="1938"/>
    <d v="2024-03-26T07:00:00"/>
    <x v="1"/>
    <x v="1"/>
    <x v="4"/>
  </r>
  <r>
    <n v="1783"/>
    <d v="2024-02-14T11:53:00"/>
    <x v="0"/>
    <x v="2"/>
    <x v="2"/>
  </r>
  <r>
    <n v="1267"/>
    <d v="2024-03-23T09:35:00"/>
    <x v="1"/>
    <x v="1"/>
    <x v="0"/>
  </r>
  <r>
    <n v="1691"/>
    <d v="2024-03-08T11:44:00"/>
    <x v="0"/>
    <x v="2"/>
    <x v="2"/>
  </r>
  <r>
    <n v="1276"/>
    <d v="2024-01-15T01:57:00"/>
    <x v="0"/>
    <x v="1"/>
    <x v="4"/>
  </r>
  <r>
    <n v="1569"/>
    <d v="2024-01-23T15:08:00"/>
    <x v="1"/>
    <x v="1"/>
    <x v="0"/>
  </r>
  <r>
    <n v="1369"/>
    <d v="2024-02-23T03:16:00"/>
    <x v="0"/>
    <x v="0"/>
    <x v="0"/>
  </r>
  <r>
    <n v="1904"/>
    <d v="2024-03-20T06:12:00"/>
    <x v="1"/>
    <x v="1"/>
    <x v="1"/>
  </r>
  <r>
    <n v="1378"/>
    <d v="2024-01-17T12:13:00"/>
    <x v="0"/>
    <x v="1"/>
    <x v="0"/>
  </r>
  <r>
    <n v="1344"/>
    <d v="2024-02-29T06:45:00"/>
    <x v="0"/>
    <x v="1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1781"/>
    <d v="2024-02-15T03:48:00"/>
    <x v="0"/>
    <x v="0"/>
    <x v="0"/>
  </r>
  <r>
    <n v="1724"/>
    <d v="2024-02-25T01:59:00"/>
    <x v="0"/>
    <x v="1"/>
    <x v="1"/>
  </r>
  <r>
    <n v="1046"/>
    <d v="2024-03-24T21:37:00"/>
    <x v="0"/>
    <x v="0"/>
    <x v="0"/>
  </r>
  <r>
    <n v="1634"/>
    <d v="2024-01-18T14:29:00"/>
    <x v="0"/>
    <x v="0"/>
    <x v="0"/>
  </r>
  <r>
    <n v="1870"/>
    <d v="2024-03-27T18:32:00"/>
    <x v="0"/>
    <x v="2"/>
    <x v="0"/>
  </r>
  <r>
    <n v="1913"/>
    <d v="2024-01-20T15:00:00"/>
    <x v="0"/>
    <x v="1"/>
    <x v="2"/>
  </r>
  <r>
    <n v="1983"/>
    <d v="2024-03-10T23:03:00"/>
    <x v="1"/>
    <x v="2"/>
    <x v="1"/>
  </r>
  <r>
    <n v="1101"/>
    <d v="2024-03-13T13:53:00"/>
    <x v="1"/>
    <x v="2"/>
    <x v="3"/>
  </r>
  <r>
    <n v="1298"/>
    <d v="2024-03-17T15:59:00"/>
    <x v="1"/>
    <x v="2"/>
    <x v="0"/>
  </r>
  <r>
    <n v="1967"/>
    <d v="2024-03-08T05:44:00"/>
    <x v="0"/>
    <x v="2"/>
    <x v="1"/>
  </r>
  <r>
    <n v="1009"/>
    <d v="2024-03-17T05:46:00"/>
    <x v="0"/>
    <x v="2"/>
    <x v="0"/>
  </r>
  <r>
    <n v="1752"/>
    <d v="2024-01-19T03:24:00"/>
    <x v="0"/>
    <x v="0"/>
    <x v="1"/>
  </r>
  <r>
    <n v="1292"/>
    <d v="2024-03-27T19:38:00"/>
    <x v="1"/>
    <x v="0"/>
    <x v="0"/>
  </r>
  <r>
    <n v="1479"/>
    <d v="2024-02-13T16:56:00"/>
    <x v="0"/>
    <x v="0"/>
    <x v="3"/>
  </r>
  <r>
    <n v="1411"/>
    <d v="2024-02-21T13:38:00"/>
    <x v="1"/>
    <x v="0"/>
    <x v="1"/>
  </r>
  <r>
    <n v="1004"/>
    <d v="2024-03-31T07:17:00"/>
    <x v="0"/>
    <x v="0"/>
    <x v="3"/>
  </r>
  <r>
    <n v="1216"/>
    <d v="2024-02-22T10:18:00"/>
    <x v="1"/>
    <x v="0"/>
    <x v="2"/>
  </r>
  <r>
    <n v="1210"/>
    <d v="2024-02-29T04:08:00"/>
    <x v="1"/>
    <x v="1"/>
    <x v="0"/>
  </r>
  <r>
    <n v="1258"/>
    <d v="2024-02-24T19:44:00"/>
    <x v="0"/>
    <x v="0"/>
    <x v="2"/>
  </r>
  <r>
    <n v="1063"/>
    <d v="2024-03-08T09:53:00"/>
    <x v="0"/>
    <x v="0"/>
    <x v="3"/>
  </r>
  <r>
    <n v="1557"/>
    <d v="2024-04-01T17:55:00"/>
    <x v="1"/>
    <x v="2"/>
    <x v="1"/>
  </r>
  <r>
    <n v="1655"/>
    <d v="2024-02-12T22:47:00"/>
    <x v="1"/>
    <x v="0"/>
    <x v="1"/>
  </r>
  <r>
    <n v="1112"/>
    <d v="2024-03-13T20:13:00"/>
    <x v="1"/>
    <x v="0"/>
    <x v="1"/>
  </r>
  <r>
    <n v="1417"/>
    <d v="2024-01-28T06:39:00"/>
    <x v="1"/>
    <x v="0"/>
    <x v="2"/>
  </r>
  <r>
    <n v="1553"/>
    <d v="2024-02-09T21:22:00"/>
    <x v="0"/>
    <x v="0"/>
    <x v="1"/>
  </r>
  <r>
    <n v="1284"/>
    <d v="2024-03-29T04:45:00"/>
    <x v="1"/>
    <x v="0"/>
    <x v="0"/>
  </r>
  <r>
    <n v="1554"/>
    <d v="2024-03-26T05:32:00"/>
    <x v="0"/>
    <x v="0"/>
    <x v="2"/>
  </r>
  <r>
    <n v="1422"/>
    <d v="2024-03-12T22:40:00"/>
    <x v="0"/>
    <x v="2"/>
    <x v="1"/>
  </r>
  <r>
    <n v="1153"/>
    <d v="2024-02-13T22:07:00"/>
    <x v="1"/>
    <x v="2"/>
    <x v="0"/>
  </r>
  <r>
    <n v="1779"/>
    <d v="2024-02-17T17:30:00"/>
    <x v="0"/>
    <x v="0"/>
    <x v="2"/>
  </r>
  <r>
    <n v="1614"/>
    <d v="2024-03-17T18:42:00"/>
    <x v="1"/>
    <x v="2"/>
    <x v="1"/>
  </r>
  <r>
    <n v="1228"/>
    <d v="2024-02-25T21:47:00"/>
    <x v="1"/>
    <x v="2"/>
    <x v="3"/>
  </r>
  <r>
    <n v="1395"/>
    <d v="2024-03-11T09:56:00"/>
    <x v="1"/>
    <x v="2"/>
    <x v="2"/>
  </r>
  <r>
    <n v="1979"/>
    <d v="2024-02-26T00:33:00"/>
    <x v="1"/>
    <x v="0"/>
    <x v="4"/>
  </r>
  <r>
    <n v="1485"/>
    <d v="2024-01-16T00:24:00"/>
    <x v="0"/>
    <x v="1"/>
    <x v="0"/>
  </r>
  <r>
    <n v="1400"/>
    <d v="2024-01-21T01:42:00"/>
    <x v="0"/>
    <x v="0"/>
    <x v="0"/>
  </r>
  <r>
    <n v="1167"/>
    <d v="2024-01-10T06:17:00"/>
    <x v="1"/>
    <x v="0"/>
    <x v="2"/>
  </r>
  <r>
    <n v="1170"/>
    <d v="2024-01-23T09:43:00"/>
    <x v="0"/>
    <x v="2"/>
    <x v="2"/>
  </r>
  <r>
    <n v="1144"/>
    <d v="2024-02-04T04:53:00"/>
    <x v="1"/>
    <x v="1"/>
    <x v="4"/>
  </r>
  <r>
    <n v="1656"/>
    <d v="2024-01-10T22:50:00"/>
    <x v="1"/>
    <x v="0"/>
    <x v="0"/>
  </r>
  <r>
    <n v="1543"/>
    <d v="2024-02-09T06:48:00"/>
    <x v="1"/>
    <x v="2"/>
    <x v="0"/>
  </r>
  <r>
    <n v="1971"/>
    <d v="2024-03-12T01:22:00"/>
    <x v="0"/>
    <x v="0"/>
    <x v="2"/>
  </r>
  <r>
    <n v="1592"/>
    <d v="2024-02-29T03:39:00"/>
    <x v="0"/>
    <x v="0"/>
    <x v="3"/>
  </r>
  <r>
    <n v="1914"/>
    <d v="2024-03-29T23:35:00"/>
    <x v="1"/>
    <x v="0"/>
    <x v="3"/>
  </r>
  <r>
    <n v="1617"/>
    <d v="2024-01-31T23:41:00"/>
    <x v="1"/>
    <x v="0"/>
    <x v="0"/>
  </r>
  <r>
    <n v="1235"/>
    <d v="2024-03-14T12:15:00"/>
    <x v="1"/>
    <x v="2"/>
    <x v="0"/>
  </r>
  <r>
    <n v="1396"/>
    <d v="2024-03-08T22:18:00"/>
    <x v="0"/>
    <x v="0"/>
    <x v="0"/>
  </r>
  <r>
    <n v="1622"/>
    <d v="2024-03-31T21:03:00"/>
    <x v="1"/>
    <x v="1"/>
    <x v="0"/>
  </r>
  <r>
    <n v="1255"/>
    <d v="2024-02-20T12:26:00"/>
    <x v="1"/>
    <x v="2"/>
    <x v="1"/>
  </r>
  <r>
    <n v="1780"/>
    <d v="2024-03-30T10:35:00"/>
    <x v="0"/>
    <x v="2"/>
    <x v="2"/>
  </r>
  <r>
    <n v="1135"/>
    <d v="2024-01-09T00:47:00"/>
    <x v="0"/>
    <x v="0"/>
    <x v="3"/>
  </r>
  <r>
    <n v="1891"/>
    <d v="2024-02-04T06:39:00"/>
    <x v="0"/>
    <x v="2"/>
    <x v="0"/>
  </r>
  <r>
    <n v="1071"/>
    <d v="2024-02-28T07:58:00"/>
    <x v="0"/>
    <x v="0"/>
    <x v="3"/>
  </r>
  <r>
    <n v="1383"/>
    <d v="2024-03-24T22:45:00"/>
    <x v="0"/>
    <x v="2"/>
    <x v="3"/>
  </r>
  <r>
    <n v="1037"/>
    <d v="2024-03-25T11:48:00"/>
    <x v="1"/>
    <x v="2"/>
    <x v="4"/>
  </r>
  <r>
    <n v="1256"/>
    <d v="2024-03-18T17:47:00"/>
    <x v="0"/>
    <x v="2"/>
    <x v="3"/>
  </r>
  <r>
    <n v="1195"/>
    <d v="2024-03-20T06:49:00"/>
    <x v="1"/>
    <x v="0"/>
    <x v="3"/>
  </r>
  <r>
    <n v="1687"/>
    <d v="2024-01-27T09:28:00"/>
    <x v="0"/>
    <x v="0"/>
    <x v="2"/>
  </r>
  <r>
    <n v="1521"/>
    <d v="2024-01-25T21:04:00"/>
    <x v="0"/>
    <x v="0"/>
    <x v="1"/>
  </r>
  <r>
    <n v="1556"/>
    <d v="2024-01-26T05:47:00"/>
    <x v="1"/>
    <x v="0"/>
    <x v="3"/>
  </r>
  <r>
    <n v="1461"/>
    <d v="2024-03-08T03:24:00"/>
    <x v="1"/>
    <x v="0"/>
    <x v="1"/>
  </r>
  <r>
    <n v="1688"/>
    <d v="2024-01-08T13:17:00"/>
    <x v="1"/>
    <x v="0"/>
    <x v="1"/>
  </r>
  <r>
    <n v="1109"/>
    <d v="2024-03-14T08:08:00"/>
    <x v="1"/>
    <x v="0"/>
    <x v="3"/>
  </r>
  <r>
    <n v="1058"/>
    <d v="2024-01-23T18:54:00"/>
    <x v="1"/>
    <x v="0"/>
    <x v="0"/>
  </r>
  <r>
    <n v="1261"/>
    <d v="2024-02-04T00:21:00"/>
    <x v="0"/>
    <x v="2"/>
    <x v="2"/>
  </r>
  <r>
    <n v="1716"/>
    <d v="2024-03-02T22:59:00"/>
    <x v="0"/>
    <x v="0"/>
    <x v="2"/>
  </r>
  <r>
    <n v="1304"/>
    <d v="2024-01-22T01:09:00"/>
    <x v="0"/>
    <x v="2"/>
    <x v="2"/>
  </r>
  <r>
    <n v="1026"/>
    <d v="2024-02-13T19:03:00"/>
    <x v="0"/>
    <x v="0"/>
    <x v="3"/>
  </r>
  <r>
    <n v="1131"/>
    <d v="2024-03-23T19:53:00"/>
    <x v="1"/>
    <x v="2"/>
    <x v="1"/>
  </r>
  <r>
    <n v="1579"/>
    <d v="2024-03-27T09:31:00"/>
    <x v="1"/>
    <x v="0"/>
    <x v="1"/>
  </r>
  <r>
    <n v="1727"/>
    <d v="2024-03-16T17:22:00"/>
    <x v="1"/>
    <x v="0"/>
    <x v="0"/>
  </r>
  <r>
    <n v="1308"/>
    <d v="2024-01-12T22:20:00"/>
    <x v="1"/>
    <x v="0"/>
    <x v="3"/>
  </r>
  <r>
    <n v="1338"/>
    <d v="2024-03-10T07:11:00"/>
    <x v="0"/>
    <x v="1"/>
    <x v="0"/>
  </r>
  <r>
    <n v="1368"/>
    <d v="2024-03-09T02:50:00"/>
    <x v="0"/>
    <x v="2"/>
    <x v="3"/>
  </r>
  <r>
    <n v="1010"/>
    <d v="2024-03-07T05:26:00"/>
    <x v="0"/>
    <x v="0"/>
    <x v="0"/>
  </r>
  <r>
    <n v="1001"/>
    <d v="2024-03-12T17:25:00"/>
    <x v="1"/>
    <x v="0"/>
    <x v="0"/>
  </r>
  <r>
    <n v="1474"/>
    <d v="2024-01-14T11:14:00"/>
    <x v="0"/>
    <x v="2"/>
    <x v="0"/>
  </r>
  <r>
    <n v="1955"/>
    <d v="2024-01-30T21:21:00"/>
    <x v="1"/>
    <x v="2"/>
    <x v="2"/>
  </r>
  <r>
    <n v="1379"/>
    <d v="2024-02-14T11:18:00"/>
    <x v="0"/>
    <x v="0"/>
    <x v="2"/>
  </r>
  <r>
    <n v="1408"/>
    <d v="2024-01-30T19:33:00"/>
    <x v="1"/>
    <x v="2"/>
    <x v="2"/>
  </r>
  <r>
    <n v="1603"/>
    <d v="2024-03-03T17:52:00"/>
    <x v="1"/>
    <x v="2"/>
    <x v="1"/>
  </r>
  <r>
    <n v="1676"/>
    <d v="2024-03-26T00:07:00"/>
    <x v="0"/>
    <x v="2"/>
    <x v="4"/>
  </r>
  <r>
    <n v="1575"/>
    <d v="2024-03-28T11:28:00"/>
    <x v="0"/>
    <x v="0"/>
    <x v="0"/>
  </r>
  <r>
    <n v="1220"/>
    <d v="2024-02-02T20:39:00"/>
    <x v="0"/>
    <x v="1"/>
    <x v="1"/>
  </r>
  <r>
    <n v="1691"/>
    <d v="2024-03-22T07:02:00"/>
    <x v="1"/>
    <x v="1"/>
    <x v="3"/>
  </r>
  <r>
    <n v="1978"/>
    <d v="2024-03-30T10:24:00"/>
    <x v="1"/>
    <x v="0"/>
    <x v="2"/>
  </r>
  <r>
    <n v="1471"/>
    <d v="2024-01-17T12:16:00"/>
    <x v="1"/>
    <x v="1"/>
    <x v="1"/>
  </r>
  <r>
    <n v="1637"/>
    <d v="2024-03-12T23:18:00"/>
    <x v="0"/>
    <x v="0"/>
    <x v="3"/>
  </r>
  <r>
    <n v="1301"/>
    <d v="2024-01-06T16:52:00"/>
    <x v="1"/>
    <x v="0"/>
    <x v="0"/>
  </r>
  <r>
    <n v="1890"/>
    <d v="2024-02-19T16:51:00"/>
    <x v="1"/>
    <x v="0"/>
    <x v="0"/>
  </r>
  <r>
    <n v="1650"/>
    <d v="2024-03-08T14:31:00"/>
    <x v="1"/>
    <x v="2"/>
    <x v="4"/>
  </r>
  <r>
    <n v="1887"/>
    <d v="2024-01-08T09:57:00"/>
    <x v="0"/>
    <x v="0"/>
    <x v="1"/>
  </r>
  <r>
    <n v="1073"/>
    <d v="2024-03-26T06:20:00"/>
    <x v="1"/>
    <x v="1"/>
    <x v="0"/>
  </r>
  <r>
    <n v="1754"/>
    <d v="2024-03-08T02:06:00"/>
    <x v="1"/>
    <x v="2"/>
    <x v="3"/>
  </r>
  <r>
    <n v="1690"/>
    <d v="2024-01-24T17:34:00"/>
    <x v="1"/>
    <x v="0"/>
    <x v="1"/>
  </r>
  <r>
    <n v="1774"/>
    <d v="2024-01-03T20:04:00"/>
    <x v="1"/>
    <x v="0"/>
    <x v="0"/>
  </r>
  <r>
    <n v="1871"/>
    <d v="2024-01-29T21:40:00"/>
    <x v="1"/>
    <x v="0"/>
    <x v="0"/>
  </r>
  <r>
    <n v="1060"/>
    <d v="2024-01-30T21:27:00"/>
    <x v="1"/>
    <x v="2"/>
    <x v="2"/>
  </r>
  <r>
    <n v="1924"/>
    <d v="2024-01-16T06:34:00"/>
    <x v="0"/>
    <x v="0"/>
    <x v="4"/>
  </r>
  <r>
    <n v="1823"/>
    <d v="2024-04-01T23:49:00"/>
    <x v="1"/>
    <x v="2"/>
    <x v="0"/>
  </r>
  <r>
    <n v="1083"/>
    <d v="2024-02-27T20:52:00"/>
    <x v="1"/>
    <x v="2"/>
    <x v="0"/>
  </r>
  <r>
    <n v="1463"/>
    <d v="2024-01-12T23:43:00"/>
    <x v="0"/>
    <x v="2"/>
    <x v="2"/>
  </r>
  <r>
    <n v="1783"/>
    <d v="2024-01-22T00:29:00"/>
    <x v="1"/>
    <x v="1"/>
    <x v="3"/>
  </r>
  <r>
    <n v="1110"/>
    <d v="2024-02-14T01:05:00"/>
    <x v="1"/>
    <x v="0"/>
    <x v="4"/>
  </r>
  <r>
    <n v="1527"/>
    <d v="2024-01-12T01:11:00"/>
    <x v="1"/>
    <x v="2"/>
    <x v="1"/>
  </r>
  <r>
    <n v="1866"/>
    <d v="2024-02-04T17:04:00"/>
    <x v="0"/>
    <x v="2"/>
    <x v="4"/>
  </r>
  <r>
    <n v="1234"/>
    <d v="2024-03-16T07:58:00"/>
    <x v="1"/>
    <x v="1"/>
    <x v="2"/>
  </r>
  <r>
    <n v="1041"/>
    <d v="2024-02-05T13:24:00"/>
    <x v="1"/>
    <x v="0"/>
    <x v="3"/>
  </r>
  <r>
    <n v="1904"/>
    <d v="2024-02-29T20:25:00"/>
    <x v="0"/>
    <x v="2"/>
    <x v="2"/>
  </r>
  <r>
    <n v="1496"/>
    <d v="2024-02-27T10:01:00"/>
    <x v="1"/>
    <x v="0"/>
    <x v="2"/>
  </r>
  <r>
    <n v="1088"/>
    <d v="2024-02-21T21:07:00"/>
    <x v="0"/>
    <x v="2"/>
    <x v="2"/>
  </r>
  <r>
    <n v="1068"/>
    <d v="2024-03-11T00:41:00"/>
    <x v="0"/>
    <x v="0"/>
    <x v="1"/>
  </r>
  <r>
    <n v="1111"/>
    <d v="2024-03-22T02:48:00"/>
    <x v="1"/>
    <x v="2"/>
    <x v="3"/>
  </r>
  <r>
    <n v="1842"/>
    <d v="2024-03-17T01:44:00"/>
    <x v="0"/>
    <x v="0"/>
    <x v="0"/>
  </r>
  <r>
    <n v="1198"/>
    <d v="2024-01-12T11:59:00"/>
    <x v="0"/>
    <x v="0"/>
    <x v="2"/>
  </r>
  <r>
    <n v="1990"/>
    <d v="2024-03-07T03:18:00"/>
    <x v="0"/>
    <x v="0"/>
    <x v="1"/>
  </r>
  <r>
    <n v="1659"/>
    <d v="2024-03-30T09:38:00"/>
    <x v="0"/>
    <x v="2"/>
    <x v="1"/>
  </r>
  <r>
    <n v="1860"/>
    <d v="2024-01-14T09:48:00"/>
    <x v="1"/>
    <x v="0"/>
    <x v="1"/>
  </r>
  <r>
    <n v="1341"/>
    <d v="2024-02-28T12:25:00"/>
    <x v="1"/>
    <x v="0"/>
    <x v="2"/>
  </r>
  <r>
    <n v="1568"/>
    <d v="2024-03-27T00:30:00"/>
    <x v="1"/>
    <x v="0"/>
    <x v="0"/>
  </r>
  <r>
    <n v="1707"/>
    <d v="2024-01-23T17:14:00"/>
    <x v="1"/>
    <x v="0"/>
    <x v="0"/>
  </r>
  <r>
    <n v="1718"/>
    <d v="2024-01-20T23:25:00"/>
    <x v="0"/>
    <x v="2"/>
    <x v="3"/>
  </r>
  <r>
    <n v="1787"/>
    <d v="2024-03-12T09:40:00"/>
    <x v="0"/>
    <x v="2"/>
    <x v="3"/>
  </r>
  <r>
    <n v="1406"/>
    <d v="2024-01-21T09:43:00"/>
    <x v="0"/>
    <x v="1"/>
    <x v="4"/>
  </r>
  <r>
    <n v="1246"/>
    <d v="2024-03-25T11:00:00"/>
    <x v="0"/>
    <x v="0"/>
    <x v="3"/>
  </r>
  <r>
    <n v="1778"/>
    <d v="2024-03-13T17:09:00"/>
    <x v="0"/>
    <x v="1"/>
    <x v="0"/>
  </r>
  <r>
    <n v="1806"/>
    <d v="2024-01-18T01:00:00"/>
    <x v="0"/>
    <x v="2"/>
    <x v="0"/>
  </r>
  <r>
    <n v="1253"/>
    <d v="2024-03-16T19:25:00"/>
    <x v="0"/>
    <x v="0"/>
    <x v="4"/>
  </r>
  <r>
    <n v="1333"/>
    <d v="2024-03-11T17:05:00"/>
    <x v="1"/>
    <x v="0"/>
    <x v="3"/>
  </r>
  <r>
    <n v="1512"/>
    <d v="2024-02-11T06:47:00"/>
    <x v="1"/>
    <x v="0"/>
    <x v="3"/>
  </r>
  <r>
    <n v="1611"/>
    <d v="2024-02-16T06:26:00"/>
    <x v="1"/>
    <x v="2"/>
    <x v="0"/>
  </r>
  <r>
    <n v="1049"/>
    <d v="2024-03-25T16:09:00"/>
    <x v="0"/>
    <x v="2"/>
    <x v="0"/>
  </r>
  <r>
    <n v="1070"/>
    <d v="2024-01-23T05:14:00"/>
    <x v="0"/>
    <x v="0"/>
    <x v="4"/>
  </r>
  <r>
    <n v="1164"/>
    <d v="2024-03-21T08:12:00"/>
    <x v="0"/>
    <x v="2"/>
    <x v="0"/>
  </r>
  <r>
    <n v="1644"/>
    <d v="2024-01-17T05:42:00"/>
    <x v="1"/>
    <x v="0"/>
    <x v="0"/>
  </r>
  <r>
    <n v="1722"/>
    <d v="2024-03-15T01:54:00"/>
    <x v="1"/>
    <x v="0"/>
    <x v="1"/>
  </r>
  <r>
    <n v="1225"/>
    <d v="2024-03-13T14:41:00"/>
    <x v="1"/>
    <x v="2"/>
    <x v="4"/>
  </r>
  <r>
    <n v="1816"/>
    <d v="2024-03-13T02:18:00"/>
    <x v="1"/>
    <x v="2"/>
    <x v="3"/>
  </r>
  <r>
    <n v="1594"/>
    <d v="2024-03-28T02:16:00"/>
    <x v="1"/>
    <x v="0"/>
    <x v="1"/>
  </r>
  <r>
    <n v="1072"/>
    <d v="2024-01-15T06:46:00"/>
    <x v="1"/>
    <x v="1"/>
    <x v="3"/>
  </r>
  <r>
    <n v="1848"/>
    <d v="2024-03-17T15:21:00"/>
    <x v="0"/>
    <x v="0"/>
    <x v="4"/>
  </r>
  <r>
    <n v="1747"/>
    <d v="2024-02-17T04:42:00"/>
    <x v="1"/>
    <x v="0"/>
    <x v="3"/>
  </r>
  <r>
    <n v="1226"/>
    <d v="2024-03-26T07:06:00"/>
    <x v="1"/>
    <x v="0"/>
    <x v="1"/>
  </r>
  <r>
    <n v="1099"/>
    <d v="2024-02-08T19:04:00"/>
    <x v="1"/>
    <x v="0"/>
    <x v="0"/>
  </r>
  <r>
    <n v="1797"/>
    <d v="2024-01-27T10:31:00"/>
    <x v="0"/>
    <x v="2"/>
    <x v="3"/>
  </r>
  <r>
    <n v="1697"/>
    <d v="2024-02-29T10:39:00"/>
    <x v="1"/>
    <x v="2"/>
    <x v="1"/>
  </r>
  <r>
    <n v="1873"/>
    <d v="2024-03-27T09:44:00"/>
    <x v="0"/>
    <x v="0"/>
    <x v="1"/>
  </r>
  <r>
    <n v="1487"/>
    <d v="2024-03-17T04:36:00"/>
    <x v="1"/>
    <x v="2"/>
    <x v="1"/>
  </r>
  <r>
    <n v="1621"/>
    <d v="2024-03-15T11:51:00"/>
    <x v="1"/>
    <x v="1"/>
    <x v="0"/>
  </r>
  <r>
    <n v="1430"/>
    <d v="2024-02-12T13:10:00"/>
    <x v="1"/>
    <x v="1"/>
    <x v="3"/>
  </r>
  <r>
    <n v="1624"/>
    <d v="2024-01-03T10:15:00"/>
    <x v="1"/>
    <x v="0"/>
    <x v="1"/>
  </r>
  <r>
    <n v="1177"/>
    <d v="2024-01-31T22:47:00"/>
    <x v="0"/>
    <x v="2"/>
    <x v="4"/>
  </r>
  <r>
    <n v="1931"/>
    <d v="2024-03-25T13:17:00"/>
    <x v="1"/>
    <x v="2"/>
    <x v="3"/>
  </r>
  <r>
    <n v="1813"/>
    <d v="2024-02-18T04:43:00"/>
    <x v="1"/>
    <x v="2"/>
    <x v="1"/>
  </r>
  <r>
    <n v="1363"/>
    <d v="2024-02-14T15:29:00"/>
    <x v="1"/>
    <x v="0"/>
    <x v="1"/>
  </r>
  <r>
    <n v="1905"/>
    <d v="2024-02-29T11:49:00"/>
    <x v="1"/>
    <x v="2"/>
    <x v="0"/>
  </r>
  <r>
    <n v="1693"/>
    <d v="2024-02-11T15:35:00"/>
    <x v="1"/>
    <x v="0"/>
    <x v="3"/>
  </r>
  <r>
    <n v="1885"/>
    <d v="2024-01-16T05:41:00"/>
    <x v="0"/>
    <x v="0"/>
    <x v="0"/>
  </r>
  <r>
    <n v="1685"/>
    <d v="2024-03-20T02:53:00"/>
    <x v="0"/>
    <x v="0"/>
    <x v="2"/>
  </r>
  <r>
    <n v="1162"/>
    <d v="2024-02-07T04:57:00"/>
    <x v="0"/>
    <x v="0"/>
    <x v="3"/>
  </r>
  <r>
    <n v="1434"/>
    <d v="2024-03-11T06:16:00"/>
    <x v="1"/>
    <x v="2"/>
    <x v="3"/>
  </r>
  <r>
    <n v="1760"/>
    <d v="2024-03-23T02:46:00"/>
    <x v="0"/>
    <x v="2"/>
    <x v="4"/>
  </r>
  <r>
    <n v="1012"/>
    <d v="2024-01-12T00:54:00"/>
    <x v="0"/>
    <x v="0"/>
    <x v="0"/>
  </r>
  <r>
    <n v="1599"/>
    <d v="2024-03-07T20:01:00"/>
    <x v="1"/>
    <x v="0"/>
    <x v="0"/>
  </r>
  <r>
    <n v="1536"/>
    <d v="2024-03-17T18:25:00"/>
    <x v="0"/>
    <x v="1"/>
    <x v="0"/>
  </r>
  <r>
    <n v="1075"/>
    <d v="2024-03-18T06:58:00"/>
    <x v="0"/>
    <x v="1"/>
    <x v="1"/>
  </r>
  <r>
    <n v="1166"/>
    <d v="2024-01-07T17:16:00"/>
    <x v="0"/>
    <x v="0"/>
    <x v="3"/>
  </r>
  <r>
    <n v="1875"/>
    <d v="2024-03-12T17:30:00"/>
    <x v="1"/>
    <x v="0"/>
    <x v="3"/>
  </r>
  <r>
    <n v="1584"/>
    <d v="2024-03-26T04:23:00"/>
    <x v="1"/>
    <x v="0"/>
    <x v="4"/>
  </r>
  <r>
    <n v="1729"/>
    <d v="2024-02-22T07:57:00"/>
    <x v="1"/>
    <x v="0"/>
    <x v="0"/>
  </r>
  <r>
    <n v="1311"/>
    <d v="2024-03-18T23:54:00"/>
    <x v="1"/>
    <x v="2"/>
    <x v="0"/>
  </r>
  <r>
    <n v="1998"/>
    <d v="2024-02-09T04:29:00"/>
    <x v="1"/>
    <x v="1"/>
    <x v="1"/>
  </r>
  <r>
    <n v="1206"/>
    <d v="2024-03-07T16:05:00"/>
    <x v="1"/>
    <x v="2"/>
    <x v="1"/>
  </r>
  <r>
    <n v="1593"/>
    <d v="2024-02-22T11:32:00"/>
    <x v="1"/>
    <x v="0"/>
    <x v="0"/>
  </r>
  <r>
    <n v="1307"/>
    <d v="2024-01-04T21:15:00"/>
    <x v="1"/>
    <x v="1"/>
    <x v="1"/>
  </r>
  <r>
    <n v="1372"/>
    <d v="2024-03-21T21:10:00"/>
    <x v="1"/>
    <x v="0"/>
    <x v="4"/>
  </r>
  <r>
    <n v="1289"/>
    <d v="2024-03-08T04:28:00"/>
    <x v="1"/>
    <x v="2"/>
    <x v="0"/>
  </r>
  <r>
    <n v="1090"/>
    <d v="2024-01-23T05:36:00"/>
    <x v="1"/>
    <x v="2"/>
    <x v="4"/>
  </r>
  <r>
    <n v="1053"/>
    <d v="2024-03-15T21:55:00"/>
    <x v="0"/>
    <x v="0"/>
    <x v="4"/>
  </r>
  <r>
    <n v="1066"/>
    <d v="2024-01-21T23:46:00"/>
    <x v="0"/>
    <x v="0"/>
    <x v="0"/>
  </r>
  <r>
    <n v="1003"/>
    <d v="2024-03-04T11:02:00"/>
    <x v="0"/>
    <x v="2"/>
    <x v="1"/>
  </r>
  <r>
    <n v="1898"/>
    <d v="2024-01-31T15:14:00"/>
    <x v="0"/>
    <x v="0"/>
    <x v="4"/>
  </r>
  <r>
    <n v="2000"/>
    <d v="2024-01-11T08:23:00"/>
    <x v="1"/>
    <x v="2"/>
    <x v="1"/>
  </r>
  <r>
    <n v="1082"/>
    <d v="2024-02-01T01:42:00"/>
    <x v="0"/>
    <x v="0"/>
    <x v="0"/>
  </r>
  <r>
    <n v="1563"/>
    <d v="2024-01-29T16:58:00"/>
    <x v="1"/>
    <x v="0"/>
    <x v="1"/>
  </r>
  <r>
    <n v="1388"/>
    <d v="2024-02-18T12:30:00"/>
    <x v="1"/>
    <x v="0"/>
    <x v="0"/>
  </r>
  <r>
    <n v="1830"/>
    <d v="2024-03-01T01:02:00"/>
    <x v="1"/>
    <x v="2"/>
    <x v="1"/>
  </r>
  <r>
    <n v="1647"/>
    <d v="2024-03-26T10:06:00"/>
    <x v="0"/>
    <x v="0"/>
    <x v="2"/>
  </r>
  <r>
    <n v="1559"/>
    <d v="2024-03-09T20:53:00"/>
    <x v="0"/>
    <x v="2"/>
    <x v="3"/>
  </r>
  <r>
    <n v="1344"/>
    <d v="2024-02-07T23:16:00"/>
    <x v="1"/>
    <x v="2"/>
    <x v="0"/>
  </r>
  <r>
    <n v="1056"/>
    <d v="2024-03-17T17:36:00"/>
    <x v="0"/>
    <x v="1"/>
    <x v="0"/>
  </r>
  <r>
    <n v="1585"/>
    <d v="2024-01-25T12:41:00"/>
    <x v="0"/>
    <x v="2"/>
    <x v="0"/>
  </r>
  <r>
    <n v="1726"/>
    <d v="2024-02-20T11:37:00"/>
    <x v="0"/>
    <x v="2"/>
    <x v="0"/>
  </r>
  <r>
    <n v="1630"/>
    <d v="2024-03-26T02:33:00"/>
    <x v="1"/>
    <x v="1"/>
    <x v="0"/>
  </r>
  <r>
    <n v="1715"/>
    <d v="2024-02-04T12:58:00"/>
    <x v="1"/>
    <x v="2"/>
    <x v="3"/>
  </r>
  <r>
    <n v="1794"/>
    <d v="2024-01-31T16:25:00"/>
    <x v="0"/>
    <x v="0"/>
    <x v="0"/>
  </r>
  <r>
    <n v="1332"/>
    <d v="2024-02-17T11:31:00"/>
    <x v="0"/>
    <x v="0"/>
    <x v="0"/>
  </r>
  <r>
    <n v="1850"/>
    <d v="2024-03-04T19:00:00"/>
    <x v="0"/>
    <x v="0"/>
    <x v="3"/>
  </r>
  <r>
    <n v="1132"/>
    <d v="2024-03-07T04:28:00"/>
    <x v="1"/>
    <x v="0"/>
    <x v="1"/>
  </r>
  <r>
    <n v="1855"/>
    <d v="2024-01-24T07:04:00"/>
    <x v="1"/>
    <x v="0"/>
    <x v="3"/>
  </r>
  <r>
    <n v="1746"/>
    <d v="2024-03-08T20:17:00"/>
    <x v="0"/>
    <x v="1"/>
    <x v="0"/>
  </r>
  <r>
    <n v="1217"/>
    <d v="2024-01-30T04:11:00"/>
    <x v="1"/>
    <x v="2"/>
    <x v="1"/>
  </r>
  <r>
    <n v="1245"/>
    <d v="2024-01-23T11:38:00"/>
    <x v="1"/>
    <x v="1"/>
    <x v="3"/>
  </r>
  <r>
    <n v="1959"/>
    <d v="2024-01-18T21:14:00"/>
    <x v="1"/>
    <x v="2"/>
    <x v="2"/>
  </r>
  <r>
    <n v="1547"/>
    <d v="2024-02-25T10:46:00"/>
    <x v="1"/>
    <x v="0"/>
    <x v="0"/>
  </r>
  <r>
    <n v="1498"/>
    <d v="2024-01-17T15:43:00"/>
    <x v="1"/>
    <x v="0"/>
    <x v="1"/>
  </r>
  <r>
    <n v="1293"/>
    <d v="2024-03-04T15:13:00"/>
    <x v="0"/>
    <x v="1"/>
    <x v="0"/>
  </r>
  <r>
    <n v="1767"/>
    <d v="2024-03-18T05:41:00"/>
    <x v="0"/>
    <x v="1"/>
    <x v="0"/>
  </r>
  <r>
    <n v="1602"/>
    <d v="2024-02-24T00:15:00"/>
    <x v="1"/>
    <x v="0"/>
    <x v="3"/>
  </r>
  <r>
    <n v="1470"/>
    <d v="2024-01-08T04:36:00"/>
    <x v="0"/>
    <x v="2"/>
    <x v="0"/>
  </r>
  <r>
    <n v="1352"/>
    <d v="2024-03-18T05:08:00"/>
    <x v="0"/>
    <x v="0"/>
    <x v="0"/>
  </r>
  <r>
    <n v="1324"/>
    <d v="2024-03-23T16:02:00"/>
    <x v="1"/>
    <x v="1"/>
    <x v="4"/>
  </r>
  <r>
    <n v="1310"/>
    <d v="2024-03-16T04:03:00"/>
    <x v="1"/>
    <x v="0"/>
    <x v="3"/>
  </r>
  <r>
    <n v="1997"/>
    <d v="2024-01-24T08:59:00"/>
    <x v="0"/>
    <x v="2"/>
    <x v="0"/>
  </r>
  <r>
    <n v="1105"/>
    <d v="2024-01-26T16:25:00"/>
    <x v="0"/>
    <x v="2"/>
    <x v="1"/>
  </r>
  <r>
    <n v="1961"/>
    <d v="2024-03-19T18:40:00"/>
    <x v="1"/>
    <x v="0"/>
    <x v="0"/>
  </r>
  <r>
    <n v="1204"/>
    <d v="2024-01-05T23:46:00"/>
    <x v="0"/>
    <x v="2"/>
    <x v="3"/>
  </r>
  <r>
    <n v="1567"/>
    <d v="2024-03-27T09:05:00"/>
    <x v="1"/>
    <x v="0"/>
    <x v="3"/>
  </r>
  <r>
    <n v="1277"/>
    <d v="2024-01-30T14:38:00"/>
    <x v="0"/>
    <x v="1"/>
    <x v="0"/>
  </r>
  <r>
    <n v="1285"/>
    <d v="2024-03-03T15:10:00"/>
    <x v="0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1855"/>
    <d v="2024-02-01T13:38:00"/>
    <x v="0"/>
    <x v="0"/>
    <x v="0"/>
  </r>
  <r>
    <n v="1166"/>
    <d v="2024-01-22T18:52:00"/>
    <x v="1"/>
    <x v="0"/>
    <x v="0"/>
  </r>
  <r>
    <n v="1009"/>
    <d v="2024-01-27T19:42:00"/>
    <x v="1"/>
    <x v="1"/>
    <x v="1"/>
  </r>
  <r>
    <n v="1630"/>
    <d v="2024-03-09T08:10:00"/>
    <x v="0"/>
    <x v="2"/>
    <x v="1"/>
  </r>
  <r>
    <n v="1101"/>
    <d v="2024-03-31T10:59:00"/>
    <x v="0"/>
    <x v="1"/>
    <x v="0"/>
  </r>
  <r>
    <n v="1058"/>
    <d v="2024-03-02T19:37:00"/>
    <x v="0"/>
    <x v="0"/>
    <x v="1"/>
  </r>
  <r>
    <n v="1891"/>
    <d v="2024-01-12T07:24:00"/>
    <x v="1"/>
    <x v="1"/>
    <x v="1"/>
  </r>
  <r>
    <n v="1913"/>
    <d v="2024-02-22T04:06:00"/>
    <x v="1"/>
    <x v="2"/>
    <x v="2"/>
  </r>
  <r>
    <n v="1162"/>
    <d v="2024-01-06T06:33:00"/>
    <x v="1"/>
    <x v="0"/>
    <x v="0"/>
  </r>
  <r>
    <n v="1656"/>
    <d v="2024-03-08T21:26:00"/>
    <x v="0"/>
    <x v="0"/>
    <x v="1"/>
  </r>
  <r>
    <n v="1688"/>
    <d v="2024-01-23T19:06:00"/>
    <x v="0"/>
    <x v="0"/>
    <x v="3"/>
  </r>
  <r>
    <n v="1395"/>
    <d v="2024-01-26T15:57:00"/>
    <x v="0"/>
    <x v="1"/>
    <x v="2"/>
  </r>
  <r>
    <n v="1718"/>
    <d v="2024-03-22T19:02:00"/>
    <x v="1"/>
    <x v="1"/>
    <x v="0"/>
  </r>
  <r>
    <n v="1998"/>
    <d v="2024-03-12T16:48:00"/>
    <x v="0"/>
    <x v="2"/>
    <x v="3"/>
  </r>
  <r>
    <n v="1779"/>
    <d v="2024-01-19T02:30:00"/>
    <x v="1"/>
    <x v="0"/>
    <x v="2"/>
  </r>
  <r>
    <n v="1797"/>
    <d v="2024-03-28T04:57:00"/>
    <x v="1"/>
    <x v="1"/>
    <x v="0"/>
  </r>
  <r>
    <n v="1256"/>
    <d v="2024-03-21T17:52:00"/>
    <x v="1"/>
    <x v="1"/>
    <x v="0"/>
  </r>
  <r>
    <n v="1568"/>
    <d v="2024-01-04T21:41:00"/>
    <x v="0"/>
    <x v="0"/>
    <x v="1"/>
  </r>
  <r>
    <n v="1066"/>
    <d v="2024-02-28T16:26:00"/>
    <x v="1"/>
    <x v="0"/>
    <x v="1"/>
  </r>
  <r>
    <n v="1716"/>
    <d v="2024-02-20T01:44:00"/>
    <x v="1"/>
    <x v="0"/>
    <x v="2"/>
  </r>
  <r>
    <n v="1332"/>
    <d v="2024-03-11T13:14:00"/>
    <x v="1"/>
    <x v="0"/>
    <x v="1"/>
  </r>
  <r>
    <n v="1690"/>
    <d v="2024-03-05T12:22:00"/>
    <x v="0"/>
    <x v="0"/>
    <x v="3"/>
  </r>
  <r>
    <n v="1592"/>
    <d v="2024-03-19T23:58:00"/>
    <x v="1"/>
    <x v="0"/>
    <x v="0"/>
  </r>
  <r>
    <n v="1905"/>
    <d v="2024-04-02T18:06:00"/>
    <x v="0"/>
    <x v="1"/>
    <x v="1"/>
  </r>
  <r>
    <n v="1285"/>
    <d v="2024-02-27T04:16:00"/>
    <x v="1"/>
    <x v="1"/>
    <x v="3"/>
  </r>
  <r>
    <n v="1585"/>
    <d v="2024-03-05T07:58:00"/>
    <x v="1"/>
    <x v="1"/>
    <x v="1"/>
  </r>
  <r>
    <n v="1082"/>
    <d v="2024-01-14T09:38:00"/>
    <x v="1"/>
    <x v="0"/>
    <x v="1"/>
  </r>
  <r>
    <n v="1498"/>
    <d v="2024-03-13T13:16:00"/>
    <x v="0"/>
    <x v="0"/>
    <x v="3"/>
  </r>
  <r>
    <n v="1971"/>
    <d v="2024-01-28T00:45:00"/>
    <x v="1"/>
    <x v="0"/>
    <x v="2"/>
  </r>
  <r>
    <n v="1408"/>
    <d v="2024-01-04T18:33:00"/>
    <x v="0"/>
    <x v="1"/>
    <x v="2"/>
  </r>
  <r>
    <n v="1422"/>
    <d v="2024-01-19T16:00:00"/>
    <x v="1"/>
    <x v="1"/>
    <x v="3"/>
  </r>
  <r>
    <n v="1621"/>
    <d v="2024-02-21T20:13:00"/>
    <x v="0"/>
    <x v="2"/>
    <x v="1"/>
  </r>
  <r>
    <n v="1983"/>
    <d v="2024-04-01T10:26:00"/>
    <x v="0"/>
    <x v="1"/>
    <x v="3"/>
  </r>
  <r>
    <n v="1056"/>
    <d v="2024-02-19T03:09:00"/>
    <x v="1"/>
    <x v="2"/>
    <x v="1"/>
  </r>
  <r>
    <n v="1487"/>
    <d v="2024-02-27T20:37:00"/>
    <x v="0"/>
    <x v="1"/>
    <x v="3"/>
  </r>
  <r>
    <n v="1593"/>
    <d v="2024-02-05T08:54:00"/>
    <x v="0"/>
    <x v="0"/>
    <x v="1"/>
  </r>
  <r>
    <n v="1871"/>
    <d v="2024-03-12T13:36:00"/>
    <x v="0"/>
    <x v="0"/>
    <x v="1"/>
  </r>
  <r>
    <n v="1463"/>
    <d v="2024-02-19T19:17:00"/>
    <x v="1"/>
    <x v="1"/>
    <x v="2"/>
  </r>
  <r>
    <n v="1135"/>
    <d v="2024-03-31T12:48:00"/>
    <x v="1"/>
    <x v="0"/>
    <x v="0"/>
  </r>
  <r>
    <n v="1063"/>
    <d v="2024-01-30T13:35:00"/>
    <x v="1"/>
    <x v="0"/>
    <x v="0"/>
  </r>
  <r>
    <n v="1177"/>
    <d v="2024-03-15T15:11:00"/>
    <x v="1"/>
    <x v="1"/>
    <x v="4"/>
  </r>
  <r>
    <n v="1289"/>
    <d v="2024-02-20T17:35:00"/>
    <x v="0"/>
    <x v="1"/>
    <x v="1"/>
  </r>
  <r>
    <n v="1434"/>
    <d v="2024-03-05T08:19:00"/>
    <x v="0"/>
    <x v="1"/>
    <x v="0"/>
  </r>
  <r>
    <n v="1109"/>
    <d v="2024-03-17T11:49:00"/>
    <x v="0"/>
    <x v="0"/>
    <x v="0"/>
  </r>
  <r>
    <n v="1554"/>
    <d v="2024-02-23T23:08:00"/>
    <x v="1"/>
    <x v="0"/>
    <x v="2"/>
  </r>
  <r>
    <n v="1955"/>
    <d v="2024-03-28T03:47:00"/>
    <x v="0"/>
    <x v="1"/>
    <x v="2"/>
  </r>
  <r>
    <n v="1813"/>
    <d v="2024-02-02T14:50:00"/>
    <x v="0"/>
    <x v="1"/>
    <x v="3"/>
  </r>
  <r>
    <n v="1614"/>
    <d v="2024-04-02T05:06:00"/>
    <x v="0"/>
    <x v="1"/>
    <x v="3"/>
  </r>
  <r>
    <n v="1547"/>
    <d v="2024-01-31T16:25:00"/>
    <x v="0"/>
    <x v="0"/>
    <x v="1"/>
  </r>
  <r>
    <n v="1567"/>
    <d v="2024-02-16T17:39:00"/>
    <x v="0"/>
    <x v="0"/>
    <x v="0"/>
  </r>
  <r>
    <n v="1301"/>
    <d v="2024-04-02T21:45:00"/>
    <x v="0"/>
    <x v="0"/>
    <x v="1"/>
  </r>
  <r>
    <n v="1225"/>
    <d v="2024-01-10T05:24:00"/>
    <x v="0"/>
    <x v="1"/>
    <x v="4"/>
  </r>
  <r>
    <n v="1496"/>
    <d v="2024-03-25T00:51:00"/>
    <x v="0"/>
    <x v="0"/>
    <x v="2"/>
  </r>
  <r>
    <n v="1132"/>
    <d v="2024-01-15T04:30:00"/>
    <x v="0"/>
    <x v="0"/>
    <x v="3"/>
  </r>
  <r>
    <n v="1210"/>
    <d v="2024-03-20T13:05:00"/>
    <x v="0"/>
    <x v="2"/>
    <x v="1"/>
  </r>
  <r>
    <n v="1512"/>
    <d v="2024-01-12T08:14:00"/>
    <x v="0"/>
    <x v="0"/>
    <x v="0"/>
  </r>
  <r>
    <n v="1637"/>
    <d v="2024-02-20T02:38:00"/>
    <x v="1"/>
    <x v="0"/>
    <x v="0"/>
  </r>
  <r>
    <n v="1634"/>
    <d v="2024-01-08T23:24:00"/>
    <x v="1"/>
    <x v="0"/>
    <x v="1"/>
  </r>
  <r>
    <n v="1041"/>
    <d v="2024-02-24T19:41:00"/>
    <x v="0"/>
    <x v="0"/>
    <x v="0"/>
  </r>
  <r>
    <n v="1778"/>
    <d v="2024-03-10T09:45:00"/>
    <x v="1"/>
    <x v="2"/>
    <x v="1"/>
  </r>
  <r>
    <n v="1344"/>
    <d v="2024-03-20T01:49:00"/>
    <x v="0"/>
    <x v="1"/>
    <x v="1"/>
  </r>
  <r>
    <n v="1088"/>
    <d v="2024-01-26T20:31:00"/>
    <x v="1"/>
    <x v="1"/>
    <x v="2"/>
  </r>
  <r>
    <n v="1073"/>
    <d v="2024-02-29T00:12:00"/>
    <x v="0"/>
    <x v="2"/>
    <x v="1"/>
  </r>
  <r>
    <n v="1860"/>
    <d v="2024-03-28T16:18:00"/>
    <x v="0"/>
    <x v="0"/>
    <x v="3"/>
  </r>
  <r>
    <n v="1352"/>
    <d v="2024-01-28T01:50:00"/>
    <x v="1"/>
    <x v="0"/>
    <x v="1"/>
  </r>
  <r>
    <n v="1068"/>
    <d v="2024-03-20T16:33:00"/>
    <x v="1"/>
    <x v="0"/>
    <x v="3"/>
  </r>
  <r>
    <n v="1235"/>
    <d v="2024-04-02T07:39:00"/>
    <x v="0"/>
    <x v="1"/>
    <x v="1"/>
  </r>
  <r>
    <n v="1164"/>
    <d v="2024-01-25T21:02:00"/>
    <x v="1"/>
    <x v="1"/>
    <x v="1"/>
  </r>
  <r>
    <n v="1579"/>
    <d v="2024-02-19T07:41:00"/>
    <x v="0"/>
    <x v="0"/>
    <x v="3"/>
  </r>
  <r>
    <n v="1816"/>
    <d v="2024-01-04T05:05:00"/>
    <x v="0"/>
    <x v="1"/>
    <x v="0"/>
  </r>
  <r>
    <n v="1406"/>
    <d v="2024-02-08T12:22:00"/>
    <x v="1"/>
    <x v="2"/>
    <x v="4"/>
  </r>
  <r>
    <n v="1245"/>
    <d v="2024-03-29T12:25:00"/>
    <x v="0"/>
    <x v="2"/>
    <x v="0"/>
  </r>
  <r>
    <n v="1363"/>
    <d v="2024-03-19T06:33:00"/>
    <x v="0"/>
    <x v="0"/>
    <x v="3"/>
  </r>
  <r>
    <n v="1131"/>
    <d v="2024-01-05T23:45:00"/>
    <x v="0"/>
    <x v="1"/>
    <x v="3"/>
  </r>
  <r>
    <n v="1575"/>
    <d v="2024-01-12T02:35:00"/>
    <x v="1"/>
    <x v="0"/>
    <x v="1"/>
  </r>
  <r>
    <n v="1053"/>
    <d v="2024-02-09T23:53:00"/>
    <x v="1"/>
    <x v="0"/>
    <x v="4"/>
  </r>
  <r>
    <n v="1112"/>
    <d v="2024-03-15T18:22:00"/>
    <x v="0"/>
    <x v="0"/>
    <x v="3"/>
  </r>
  <r>
    <n v="1308"/>
    <d v="2024-02-17T08:14:00"/>
    <x v="0"/>
    <x v="0"/>
    <x v="0"/>
  </r>
  <r>
    <n v="1990"/>
    <d v="2024-03-21T06:29:00"/>
    <x v="1"/>
    <x v="0"/>
    <x v="3"/>
  </r>
  <r>
    <n v="1293"/>
    <d v="2024-02-24T18:00:00"/>
    <x v="1"/>
    <x v="2"/>
    <x v="1"/>
  </r>
  <r>
    <n v="1341"/>
    <d v="2024-02-06T05:26:00"/>
    <x v="0"/>
    <x v="0"/>
    <x v="2"/>
  </r>
  <r>
    <n v="1060"/>
    <d v="2024-03-08T03:35:00"/>
    <x v="0"/>
    <x v="1"/>
    <x v="2"/>
  </r>
  <r>
    <n v="1471"/>
    <d v="2024-01-13T16:18:00"/>
    <x v="0"/>
    <x v="2"/>
    <x v="3"/>
  </r>
  <r>
    <n v="1961"/>
    <d v="2024-02-16T03:51:00"/>
    <x v="0"/>
    <x v="0"/>
    <x v="1"/>
  </r>
  <r>
    <n v="1806"/>
    <d v="2024-03-09T08:56:00"/>
    <x v="1"/>
    <x v="1"/>
    <x v="1"/>
  </r>
  <r>
    <n v="1220"/>
    <d v="2024-03-12T18:16:00"/>
    <x v="1"/>
    <x v="2"/>
    <x v="3"/>
  </r>
  <r>
    <n v="1396"/>
    <d v="2024-04-01T14:24:00"/>
    <x v="1"/>
    <x v="0"/>
    <x v="1"/>
  </r>
  <r>
    <n v="1246"/>
    <d v="2024-03-16T15:49:00"/>
    <x v="1"/>
    <x v="0"/>
    <x v="0"/>
  </r>
  <r>
    <n v="1037"/>
    <d v="2024-02-04T10:49:00"/>
    <x v="0"/>
    <x v="1"/>
    <x v="4"/>
  </r>
  <r>
    <n v="1650"/>
    <d v="2024-03-02T21:29:00"/>
    <x v="0"/>
    <x v="1"/>
    <x v="4"/>
  </r>
  <r>
    <n v="1304"/>
    <d v="2024-03-19T00:30:00"/>
    <x v="1"/>
    <x v="1"/>
    <x v="2"/>
  </r>
  <r>
    <n v="1599"/>
    <d v="2024-01-18T08:04:00"/>
    <x v="0"/>
    <x v="0"/>
    <x v="1"/>
  </r>
  <r>
    <n v="1226"/>
    <d v="2024-02-21T20:50:00"/>
    <x v="0"/>
    <x v="0"/>
    <x v="3"/>
  </r>
  <r>
    <n v="1111"/>
    <d v="2024-02-01T21:44:00"/>
    <x v="0"/>
    <x v="1"/>
    <x v="0"/>
  </r>
  <r>
    <n v="1474"/>
    <d v="2024-02-02T10:26:00"/>
    <x v="1"/>
    <x v="1"/>
    <x v="1"/>
  </r>
  <r>
    <n v="1890"/>
    <d v="2024-02-18T16:34:00"/>
    <x v="0"/>
    <x v="0"/>
    <x v="1"/>
  </r>
  <r>
    <n v="1722"/>
    <d v="2024-01-05T22:53:00"/>
    <x v="0"/>
    <x v="0"/>
    <x v="3"/>
  </r>
  <r>
    <n v="1400"/>
    <d v="2024-02-06T07:18:00"/>
    <x v="1"/>
    <x v="0"/>
    <x v="1"/>
  </r>
  <r>
    <n v="1253"/>
    <d v="2024-01-15T12:43:00"/>
    <x v="1"/>
    <x v="0"/>
    <x v="4"/>
  </r>
  <r>
    <n v="1724"/>
    <d v="2024-02-16T02:35:00"/>
    <x v="1"/>
    <x v="2"/>
    <x v="3"/>
  </r>
  <r>
    <n v="1536"/>
    <d v="2024-01-26T15:20:00"/>
    <x v="1"/>
    <x v="2"/>
    <x v="1"/>
  </r>
  <r>
    <n v="1553"/>
    <d v="2024-02-18T06:57:00"/>
    <x v="1"/>
    <x v="0"/>
    <x v="3"/>
  </r>
  <r>
    <n v="1311"/>
    <d v="2024-03-17T08:11:00"/>
    <x v="0"/>
    <x v="1"/>
    <x v="1"/>
  </r>
  <r>
    <n v="1206"/>
    <d v="2024-03-31T06:31:00"/>
    <x v="0"/>
    <x v="1"/>
    <x v="3"/>
  </r>
  <r>
    <n v="1885"/>
    <d v="2024-01-29T07:47:00"/>
    <x v="1"/>
    <x v="0"/>
    <x v="1"/>
  </r>
  <r>
    <n v="1071"/>
    <d v="2024-02-03T08:13:00"/>
    <x v="1"/>
    <x v="0"/>
    <x v="0"/>
  </r>
  <r>
    <n v="1848"/>
    <d v="2024-02-02T06:53:00"/>
    <x v="1"/>
    <x v="0"/>
    <x v="4"/>
  </r>
  <r>
    <n v="1767"/>
    <d v="2024-02-04T19:22:00"/>
    <x v="1"/>
    <x v="2"/>
    <x v="1"/>
  </r>
  <r>
    <n v="1594"/>
    <d v="2024-01-23T03:07:00"/>
    <x v="0"/>
    <x v="0"/>
    <x v="3"/>
  </r>
  <r>
    <n v="1659"/>
    <d v="2024-01-14T21:42:00"/>
    <x v="1"/>
    <x v="1"/>
    <x v="3"/>
  </r>
  <r>
    <n v="1729"/>
    <d v="2024-03-07T19:00:00"/>
    <x v="0"/>
    <x v="0"/>
    <x v="1"/>
  </r>
  <r>
    <n v="1461"/>
    <d v="2024-03-13T01:54:00"/>
    <x v="0"/>
    <x v="0"/>
    <x v="3"/>
  </r>
  <r>
    <n v="1697"/>
    <d v="2024-03-05T11:39:00"/>
    <x v="0"/>
    <x v="1"/>
    <x v="3"/>
  </r>
  <r>
    <n v="1887"/>
    <d v="2024-02-13T15:57:00"/>
    <x v="1"/>
    <x v="0"/>
    <x v="3"/>
  </r>
  <r>
    <n v="1842"/>
    <d v="2024-03-17T08:31:00"/>
    <x v="1"/>
    <x v="0"/>
    <x v="1"/>
  </r>
  <r>
    <n v="1687"/>
    <d v="2024-01-27T16:17:00"/>
    <x v="1"/>
    <x v="0"/>
    <x v="2"/>
  </r>
  <r>
    <n v="2000"/>
    <d v="2024-02-23T07:48:00"/>
    <x v="0"/>
    <x v="1"/>
    <x v="3"/>
  </r>
  <r>
    <n v="1046"/>
    <d v="2024-03-17T04:03:00"/>
    <x v="1"/>
    <x v="0"/>
    <x v="1"/>
  </r>
  <r>
    <n v="1752"/>
    <d v="2024-03-11T13:30:00"/>
    <x v="1"/>
    <x v="0"/>
    <x v="3"/>
  </r>
  <r>
    <n v="1170"/>
    <d v="2024-03-13T01:32:00"/>
    <x v="1"/>
    <x v="1"/>
    <x v="2"/>
  </r>
  <r>
    <n v="1153"/>
    <d v="2024-02-17T12:55:0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F722B-F37A-4E11-8C20-C6823E4DD78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4:N19" firstHeaderRow="1" firstDataRow="2" firstDataCol="1"/>
  <pivotFields count="5">
    <pivotField dataField="1" showAll="0"/>
    <pivotField numFmtId="22"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C8A5A-B594-4C33-9297-A3D0B7F36E6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7:L12" firstHeaderRow="1" firstDataRow="3" firstDataCol="1"/>
  <pivotFields count="5">
    <pivotField dataField="1" showAll="0"/>
    <pivotField numFmtId="22" showAll="0"/>
    <pivotField axis="axisRow" showAll="0">
      <items count="3">
        <item x="1"/>
        <item x="0"/>
        <item t="default"/>
      </items>
    </pivotField>
    <pivotField axis="axisCol" showAll="0">
      <items count="4">
        <item sd="0" x="0"/>
        <item sd="0" x="1"/>
        <item sd="0" x="2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2">
    <field x="3"/>
    <field x="4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C9373-60CF-411C-955F-21E8A9FDBA9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5" firstHeaderRow="1" firstDataRow="1" firstDataCol="1"/>
  <pivotFields count="5">
    <pivotField dataField="1" showAll="0"/>
    <pivotField numFmtId="22"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CF5C9-45C6-4286-BB90-237DEB1C18ED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22" firstHeaderRow="1" firstDataRow="2" firstDataCol="1"/>
  <pivotFields count="5">
    <pivotField dataField="1" showAll="0"/>
    <pivotField numFmtId="22"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3"/>
        <item x="1"/>
        <item x="4"/>
        <item x="2"/>
        <item x="0"/>
        <item t="default"/>
      </items>
    </pivotField>
  </pivotFields>
  <rowFields count="2">
    <field x="3"/>
    <field x="4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AB77B-86B1-4053-B63B-F74884092EAA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22" firstHeaderRow="1" firstDataRow="2" firstDataCol="1"/>
  <pivotFields count="5">
    <pivotField dataField="1" showAll="0"/>
    <pivotField numFmtId="22" showAll="0"/>
    <pivotField axis="axisCol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</pivotFields>
  <rowFields count="2">
    <field x="3"/>
    <field x="4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A72BB-FC05-42C3-9DB9-07A14D1D975E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J14" firstHeaderRow="1" firstDataRow="2" firstDataCol="1"/>
  <pivotFields count="5">
    <pivotField dataField="1" showAll="0"/>
    <pivotField numFmtId="22" showAll="0"/>
    <pivotField axis="axisCol" showAll="0">
      <items count="3">
        <item x="0"/>
        <item x="1"/>
        <item t="default"/>
      </items>
    </pivotField>
    <pivotField axis="axisRow" showAll="0">
      <items count="4">
        <item sd="0" x="0"/>
        <item sd="0" x="2"/>
        <item sd="0" x="1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</pivotFields>
  <rowFields count="2">
    <field x="3"/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7E22F-0A4D-4341-8B49-C16C029E0CED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M7" firstHeaderRow="1" firstDataRow="3" firstDataCol="1"/>
  <pivotFields count="5">
    <pivotField dataField="1" showAll="0"/>
    <pivotField numFmtId="22" showAll="0"/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Col" showAll="0">
      <items count="6">
        <item sd="0" x="4"/>
        <item sd="0" x="2"/>
        <item sd="0" x="0"/>
        <item sd="0" x="3"/>
        <item sd="0"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2">
    <field x="4"/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03C4731-F0BC-4F2D-8406-1AE61B3138AE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gender" tableColumnId="2"/>
      <queryTableField id="3" name="age" tableColumnId="3"/>
      <queryTableField id="4" name="country" tableColumnId="4"/>
      <queryTableField id="5" name="device" tableColumnId="5"/>
      <queryTableField id="6" name="traffic_sour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E5F63F-50E5-47D0-B60C-3627AC2F9C83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user_id" tableColumnId="1"/>
      <queryTableField id="2" name="timestamp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50ED94-DF11-4978-A081-BA33F3D8633E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user_id" tableColumnId="1"/>
      <queryTableField id="2" name="timestamp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3074B9-1C86-4351-8870-E57D8ED92DA9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user_id" tableColumnId="1"/>
      <queryTableField id="2" name="timestamp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B4A219-7242-47A7-938C-1A73648856AB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user_id" tableColumnId="1"/>
      <queryTableField id="2" name="timestamp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2D32B-D462-40AE-83B8-BD5E8EDB6330}" name="user_table" displayName="user_table" ref="A1:F1001" tableType="queryTable" totalsRowShown="0">
  <autoFilter ref="A1:F1001" xr:uid="{C332D32B-D462-40AE-83B8-BD5E8EDB6330}"/>
  <tableColumns count="6">
    <tableColumn id="1" xr3:uid="{55A8457E-B535-4619-8AC8-8F11203817F0}" uniqueName="1" name="user_id" queryTableFieldId="1"/>
    <tableColumn id="2" xr3:uid="{3946413A-B8B3-487B-9B71-0EE19276F86A}" uniqueName="2" name="gender" queryTableFieldId="2" dataDxfId="20"/>
    <tableColumn id="3" xr3:uid="{E3ACD1C9-C464-446A-8922-5CE7B8F17600}" uniqueName="3" name="age" queryTableFieldId="3"/>
    <tableColumn id="4" xr3:uid="{0C55559E-746C-477D-901C-1F1A5404D44E}" uniqueName="4" name="country" queryTableFieldId="4" dataDxfId="19"/>
    <tableColumn id="5" xr3:uid="{8B7A6102-7E9D-4218-BFEE-0964C35C9512}" uniqueName="5" name="device" queryTableFieldId="5" dataDxfId="18"/>
    <tableColumn id="6" xr3:uid="{E434ED4D-D618-4F78-901F-E1F2EC155A39}" uniqueName="6" name="traffic_source" queryTableFieldId="6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6952CA-B22F-4228-8A0C-7FF5B11C1497}" name="home_page" displayName="home_page" ref="A1:F1001" tableType="queryTable" totalsRowShown="0">
  <autoFilter ref="A1:F1001" xr:uid="{806952CA-B22F-4228-8A0C-7FF5B11C1497}"/>
  <tableColumns count="6">
    <tableColumn id="1" xr3:uid="{A67F666B-9B4F-4C6F-9AE7-DAF306F69418}" uniqueName="1" name="user_id" queryTableFieldId="1"/>
    <tableColumn id="2" xr3:uid="{2336457D-135E-4835-A13E-C06424FC7F54}" uniqueName="2" name="timestamp" queryTableFieldId="2" dataDxfId="16"/>
    <tableColumn id="3" xr3:uid="{7122DCEB-EDF5-4966-B4AE-E5E983F6E122}" uniqueName="3" name="Gender" queryTableFieldId="3" dataDxfId="12">
      <calculatedColumnFormula>VLOOKUP(A2, user_table!$A:$B, 2, FALSE)</calculatedColumnFormula>
    </tableColumn>
    <tableColumn id="4" xr3:uid="{1DE08D17-5CFC-436C-A9BD-5C37B52E5EF3}" uniqueName="4" name="Device" queryTableFieldId="4" dataDxfId="8">
      <calculatedColumnFormula>VLOOKUP(A2, user_table!$A:$F, 5, FALSE)</calculatedColumnFormula>
    </tableColumn>
    <tableColumn id="5" xr3:uid="{E325D62C-6D2D-40DF-A96D-3250B89FAB54}" uniqueName="5" name="Traffic Source" queryTableFieldId="5" dataDxfId="4">
      <calculatedColumnFormula>VLOOKUP(A2, user_table!$A:$F, 6, FALSE)</calculatedColumnFormula>
    </tableColumn>
    <tableColumn id="6" xr3:uid="{278B0BE8-B966-4DED-AA2D-4957E25FEEB3}" uniqueName="6" name="Reached Search" queryTableFieldId="6" dataDxfId="0">
      <calculatedColumnFormula>IF(ISNUMBER(MATCH(A2, search_page!$A:$A, 0)), "Yes", 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717A8F-C7B0-4199-8539-8BB5F680B53A}" name="search_page" displayName="search_page" ref="A1:E551" tableType="queryTable" totalsRowShown="0">
  <autoFilter ref="A1:E551" xr:uid="{BD717A8F-C7B0-4199-8539-8BB5F680B53A}"/>
  <tableColumns count="5">
    <tableColumn id="1" xr3:uid="{A49E4240-0B8C-4624-BDC4-2658E39A73A5}" uniqueName="1" name="user_id" queryTableFieldId="1"/>
    <tableColumn id="2" xr3:uid="{E4538220-9797-40B9-AFDE-693F4844BE58}" uniqueName="2" name="timestamp" queryTableFieldId="2" dataDxfId="15"/>
    <tableColumn id="3" xr3:uid="{473E5C11-F511-484F-877A-EE48A58099CE}" uniqueName="3" name="Gender" queryTableFieldId="3" dataDxfId="11">
      <calculatedColumnFormula>VLOOKUP(A2, user_table!$A:$B, 2, FALSE)</calculatedColumnFormula>
    </tableColumn>
    <tableColumn id="4" xr3:uid="{096DE2AB-EF43-4268-AD14-CC0A5225293C}" uniqueName="4" name="Device" queryTableFieldId="4" dataDxfId="7">
      <calculatedColumnFormula>VLOOKUP(A2, user_table!$A:$F, 5, FALSE)</calculatedColumnFormula>
    </tableColumn>
    <tableColumn id="5" xr3:uid="{393EEBD2-4FC2-432D-B086-EE3226B77596}" uniqueName="5" name="Traffic Source" queryTableFieldId="5" dataDxfId="3">
      <calculatedColumnFormula>VLOOKUP(A2, user_table!$A:$F, 6, 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B14E8-C0A9-4B7E-9D75-558B802D2FF5}" name="confirmation_page" displayName="confirmation_page" ref="A1:E122" tableType="queryTable" totalsRowShown="0">
  <autoFilter ref="A1:E122" xr:uid="{E70B14E8-C0A9-4B7E-9D75-558B802D2FF5}"/>
  <tableColumns count="5">
    <tableColumn id="1" xr3:uid="{96EC5D6B-433B-4B1B-9C1E-809E3CECCC6E}" uniqueName="1" name="user_id" queryTableFieldId="1"/>
    <tableColumn id="2" xr3:uid="{A682477C-F6FF-496C-BBAA-484A176070AB}" uniqueName="2" name="timestamp" queryTableFieldId="2" dataDxfId="13"/>
    <tableColumn id="3" xr3:uid="{139017CC-F384-4D49-B4EF-287998D2D1CD}" uniqueName="3" name="Gender" queryTableFieldId="3" dataDxfId="9">
      <calculatedColumnFormula>VLOOKUP(A2, user_table!$A:$B, 2, FALSE)</calculatedColumnFormula>
    </tableColumn>
    <tableColumn id="4" xr3:uid="{1532936A-8A32-4B95-A600-6BF5D54E13F2}" uniqueName="4" name="Device" queryTableFieldId="4" dataDxfId="5">
      <calculatedColumnFormula>VLOOKUP(A2, user_table!$A:$F, 5, FALSE)</calculatedColumnFormula>
    </tableColumn>
    <tableColumn id="5" xr3:uid="{960E02A5-2C3F-4B57-8F69-2D86D48FE8A3}" uniqueName="5" name="Traffic Source" queryTableFieldId="5" dataDxfId="1">
      <calculatedColumnFormula>VLOOKUP(A2, user_table!$A:$F, 6, 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C9A4DA-5561-4068-8C7F-56969FC68F04}" name="payment_page" displayName="payment_page" ref="A1:E221" tableType="queryTable" totalsRowShown="0">
  <autoFilter ref="A1:E221" xr:uid="{09C9A4DA-5561-4068-8C7F-56969FC68F04}"/>
  <tableColumns count="5">
    <tableColumn id="1" xr3:uid="{F3536C8A-9A8E-438C-86A2-A627BA61ED34}" uniqueName="1" name="user_id" queryTableFieldId="1"/>
    <tableColumn id="2" xr3:uid="{A22922AB-75E1-4744-8B76-862438A30665}" uniqueName="2" name="timestamp" queryTableFieldId="2" dataDxfId="14"/>
    <tableColumn id="3" xr3:uid="{31299FF2-B810-48C6-9795-434DF2CB3292}" uniqueName="3" name="Gender" queryTableFieldId="3" dataDxfId="10">
      <calculatedColumnFormula>VLOOKUP(A2, user_table!$A:$B, 2, FALSE)</calculatedColumnFormula>
    </tableColumn>
    <tableColumn id="4" xr3:uid="{F30BDD12-15F8-4DE8-B5E0-BC1A37F78FB1}" uniqueName="4" name="Device" queryTableFieldId="4" dataDxfId="6">
      <calculatedColumnFormula>VLOOKUP(A2, user_table!$A:$F, 5, FALSE)</calculatedColumnFormula>
    </tableColumn>
    <tableColumn id="5" xr3:uid="{319FD402-3F4B-48F9-B180-3BB67DF333CC}" uniqueName="5" name="Traffic Source" queryTableFieldId="5" dataDxfId="2">
      <calculatedColumnFormula>VLOOKUP(A2, user_table!$A:$F, 6,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1B43-B78E-4FBE-B489-C367D80FE510}">
  <dimension ref="A1:F1001"/>
  <sheetViews>
    <sheetView tabSelected="1" workbookViewId="0"/>
  </sheetViews>
  <sheetFormatPr defaultRowHeight="14.5"/>
  <cols>
    <col min="1" max="1" width="9.1796875" bestFit="1" customWidth="1"/>
    <col min="2" max="2" width="8.81640625" bestFit="1" customWidth="1"/>
    <col min="3" max="3" width="6" bestFit="1" customWidth="1"/>
    <col min="4" max="4" width="9.453125" bestFit="1" customWidth="1"/>
    <col min="5" max="5" width="8.6328125" bestFit="1" customWidth="1"/>
    <col min="6" max="6" width="14.632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s="1" t="s">
        <v>6</v>
      </c>
      <c r="C2">
        <v>64</v>
      </c>
      <c r="D2" s="1" t="s">
        <v>7</v>
      </c>
      <c r="E2" s="1" t="s">
        <v>8</v>
      </c>
      <c r="F2" s="1" t="s">
        <v>9</v>
      </c>
    </row>
    <row r="3" spans="1:6">
      <c r="A3">
        <v>1002</v>
      </c>
      <c r="B3" s="1" t="s">
        <v>10</v>
      </c>
      <c r="C3">
        <v>29</v>
      </c>
      <c r="D3" s="1" t="s">
        <v>11</v>
      </c>
      <c r="E3" s="1" t="s">
        <v>12</v>
      </c>
      <c r="F3" s="1" t="s">
        <v>9</v>
      </c>
    </row>
    <row r="4" spans="1:6">
      <c r="A4">
        <v>1003</v>
      </c>
      <c r="B4" s="1" t="s">
        <v>10</v>
      </c>
      <c r="C4">
        <v>33</v>
      </c>
      <c r="D4" s="1" t="s">
        <v>13</v>
      </c>
      <c r="E4" s="1" t="s">
        <v>12</v>
      </c>
      <c r="F4" s="1" t="s">
        <v>14</v>
      </c>
    </row>
    <row r="5" spans="1:6">
      <c r="A5">
        <v>1004</v>
      </c>
      <c r="B5" s="1" t="s">
        <v>10</v>
      </c>
      <c r="C5">
        <v>41</v>
      </c>
      <c r="D5" s="1" t="s">
        <v>7</v>
      </c>
      <c r="E5" s="1" t="s">
        <v>8</v>
      </c>
      <c r="F5" s="1" t="s">
        <v>15</v>
      </c>
    </row>
    <row r="6" spans="1:6">
      <c r="A6">
        <v>1005</v>
      </c>
      <c r="B6" s="1" t="s">
        <v>6</v>
      </c>
      <c r="C6">
        <v>36</v>
      </c>
      <c r="D6" s="1" t="s">
        <v>16</v>
      </c>
      <c r="E6" s="1" t="s">
        <v>8</v>
      </c>
      <c r="F6" s="1" t="s">
        <v>17</v>
      </c>
    </row>
    <row r="7" spans="1:6">
      <c r="A7">
        <v>1006</v>
      </c>
      <c r="B7" s="1" t="s">
        <v>6</v>
      </c>
      <c r="C7">
        <v>25</v>
      </c>
      <c r="D7" s="1" t="s">
        <v>13</v>
      </c>
      <c r="E7" s="1" t="s">
        <v>12</v>
      </c>
      <c r="F7" s="1" t="s">
        <v>9</v>
      </c>
    </row>
    <row r="8" spans="1:6">
      <c r="A8">
        <v>1007</v>
      </c>
      <c r="B8" s="1" t="s">
        <v>6</v>
      </c>
      <c r="C8">
        <v>48</v>
      </c>
      <c r="D8" s="1" t="s">
        <v>16</v>
      </c>
      <c r="E8" s="1" t="s">
        <v>12</v>
      </c>
      <c r="F8" s="1" t="s">
        <v>9</v>
      </c>
    </row>
    <row r="9" spans="1:6">
      <c r="A9">
        <v>1008</v>
      </c>
      <c r="B9" s="1" t="s">
        <v>10</v>
      </c>
      <c r="C9">
        <v>38</v>
      </c>
      <c r="D9" s="1" t="s">
        <v>7</v>
      </c>
      <c r="E9" s="1" t="s">
        <v>8</v>
      </c>
      <c r="F9" s="1" t="s">
        <v>15</v>
      </c>
    </row>
    <row r="10" spans="1:6">
      <c r="A10">
        <v>1009</v>
      </c>
      <c r="B10" s="1" t="s">
        <v>10</v>
      </c>
      <c r="C10">
        <v>34</v>
      </c>
      <c r="D10" s="1" t="s">
        <v>16</v>
      </c>
      <c r="E10" s="1" t="s">
        <v>12</v>
      </c>
      <c r="F10" s="1" t="s">
        <v>9</v>
      </c>
    </row>
    <row r="11" spans="1:6">
      <c r="A11">
        <v>1010</v>
      </c>
      <c r="B11" s="1" t="s">
        <v>10</v>
      </c>
      <c r="C11">
        <v>40</v>
      </c>
      <c r="D11" s="1" t="s">
        <v>7</v>
      </c>
      <c r="E11" s="1" t="s">
        <v>8</v>
      </c>
      <c r="F11" s="1" t="s">
        <v>9</v>
      </c>
    </row>
    <row r="12" spans="1:6">
      <c r="A12">
        <v>1011</v>
      </c>
      <c r="B12" s="1" t="s">
        <v>6</v>
      </c>
      <c r="C12">
        <v>54</v>
      </c>
      <c r="D12" s="1" t="s">
        <v>7</v>
      </c>
      <c r="E12" s="1" t="s">
        <v>12</v>
      </c>
      <c r="F12" s="1" t="s">
        <v>14</v>
      </c>
    </row>
    <row r="13" spans="1:6">
      <c r="A13">
        <v>1012</v>
      </c>
      <c r="B13" s="1" t="s">
        <v>10</v>
      </c>
      <c r="C13">
        <v>33</v>
      </c>
      <c r="D13" s="1" t="s">
        <v>7</v>
      </c>
      <c r="E13" s="1" t="s">
        <v>8</v>
      </c>
      <c r="F13" s="1" t="s">
        <v>9</v>
      </c>
    </row>
    <row r="14" spans="1:6">
      <c r="A14">
        <v>1013</v>
      </c>
      <c r="B14" s="1" t="s">
        <v>10</v>
      </c>
      <c r="C14">
        <v>23</v>
      </c>
      <c r="D14" s="1" t="s">
        <v>18</v>
      </c>
      <c r="E14" s="1" t="s">
        <v>19</v>
      </c>
      <c r="F14" s="1" t="s">
        <v>14</v>
      </c>
    </row>
    <row r="15" spans="1:6">
      <c r="A15">
        <v>1014</v>
      </c>
      <c r="B15" s="1" t="s">
        <v>6</v>
      </c>
      <c r="C15">
        <v>25</v>
      </c>
      <c r="D15" s="1" t="s">
        <v>16</v>
      </c>
      <c r="E15" s="1" t="s">
        <v>8</v>
      </c>
      <c r="F15" s="1" t="s">
        <v>9</v>
      </c>
    </row>
    <row r="16" spans="1:6">
      <c r="A16">
        <v>1015</v>
      </c>
      <c r="B16" s="1" t="s">
        <v>6</v>
      </c>
      <c r="C16">
        <v>42</v>
      </c>
      <c r="D16" s="1" t="s">
        <v>16</v>
      </c>
      <c r="E16" s="1" t="s">
        <v>8</v>
      </c>
      <c r="F16" s="1" t="s">
        <v>9</v>
      </c>
    </row>
    <row r="17" spans="1:6">
      <c r="A17">
        <v>1016</v>
      </c>
      <c r="B17" s="1" t="s">
        <v>6</v>
      </c>
      <c r="C17">
        <v>35</v>
      </c>
      <c r="D17" s="1" t="s">
        <v>11</v>
      </c>
      <c r="E17" s="1" t="s">
        <v>8</v>
      </c>
      <c r="F17" s="1" t="s">
        <v>15</v>
      </c>
    </row>
    <row r="18" spans="1:6">
      <c r="A18">
        <v>1017</v>
      </c>
      <c r="B18" s="1" t="s">
        <v>6</v>
      </c>
      <c r="C18">
        <v>42</v>
      </c>
      <c r="D18" s="1" t="s">
        <v>16</v>
      </c>
      <c r="E18" s="1" t="s">
        <v>8</v>
      </c>
      <c r="F18" s="1" t="s">
        <v>17</v>
      </c>
    </row>
    <row r="19" spans="1:6">
      <c r="A19">
        <v>1018</v>
      </c>
      <c r="B19" s="1" t="s">
        <v>10</v>
      </c>
      <c r="C19">
        <v>29</v>
      </c>
      <c r="D19" s="1" t="s">
        <v>18</v>
      </c>
      <c r="E19" s="1" t="s">
        <v>12</v>
      </c>
      <c r="F19" s="1" t="s">
        <v>15</v>
      </c>
    </row>
    <row r="20" spans="1:6">
      <c r="A20">
        <v>1019</v>
      </c>
      <c r="B20" s="1" t="s">
        <v>6</v>
      </c>
      <c r="C20">
        <v>32</v>
      </c>
      <c r="D20" s="1" t="s">
        <v>16</v>
      </c>
      <c r="E20" s="1" t="s">
        <v>8</v>
      </c>
      <c r="F20" s="1" t="s">
        <v>17</v>
      </c>
    </row>
    <row r="21" spans="1:6">
      <c r="A21">
        <v>1020</v>
      </c>
      <c r="B21" s="1" t="s">
        <v>6</v>
      </c>
      <c r="C21">
        <v>43</v>
      </c>
      <c r="D21" s="1" t="s">
        <v>13</v>
      </c>
      <c r="E21" s="1" t="s">
        <v>12</v>
      </c>
      <c r="F21" s="1" t="s">
        <v>9</v>
      </c>
    </row>
    <row r="22" spans="1:6">
      <c r="A22">
        <v>1021</v>
      </c>
      <c r="B22" s="1" t="s">
        <v>10</v>
      </c>
      <c r="C22">
        <v>58</v>
      </c>
      <c r="D22" s="1" t="s">
        <v>11</v>
      </c>
      <c r="E22" s="1" t="s">
        <v>8</v>
      </c>
      <c r="F22" s="1" t="s">
        <v>17</v>
      </c>
    </row>
    <row r="23" spans="1:6">
      <c r="A23">
        <v>1022</v>
      </c>
      <c r="B23" s="1" t="s">
        <v>6</v>
      </c>
      <c r="C23">
        <v>62</v>
      </c>
      <c r="D23" s="1" t="s">
        <v>7</v>
      </c>
      <c r="E23" s="1" t="s">
        <v>8</v>
      </c>
      <c r="F23" s="1" t="s">
        <v>9</v>
      </c>
    </row>
    <row r="24" spans="1:6">
      <c r="A24">
        <v>1023</v>
      </c>
      <c r="B24" s="1" t="s">
        <v>6</v>
      </c>
      <c r="C24">
        <v>43</v>
      </c>
      <c r="D24" s="1" t="s">
        <v>16</v>
      </c>
      <c r="E24" s="1" t="s">
        <v>8</v>
      </c>
      <c r="F24" s="1" t="s">
        <v>14</v>
      </c>
    </row>
    <row r="25" spans="1:6">
      <c r="A25">
        <v>1024</v>
      </c>
      <c r="B25" s="1" t="s">
        <v>6</v>
      </c>
      <c r="C25">
        <v>64</v>
      </c>
      <c r="D25" s="1" t="s">
        <v>7</v>
      </c>
      <c r="E25" s="1" t="s">
        <v>8</v>
      </c>
      <c r="F25" s="1" t="s">
        <v>14</v>
      </c>
    </row>
    <row r="26" spans="1:6">
      <c r="A26">
        <v>1025</v>
      </c>
      <c r="B26" s="1" t="s">
        <v>6</v>
      </c>
      <c r="C26">
        <v>49</v>
      </c>
      <c r="D26" s="1" t="s">
        <v>13</v>
      </c>
      <c r="E26" s="1" t="s">
        <v>8</v>
      </c>
      <c r="F26" s="1" t="s">
        <v>20</v>
      </c>
    </row>
    <row r="27" spans="1:6">
      <c r="A27">
        <v>1026</v>
      </c>
      <c r="B27" s="1" t="s">
        <v>10</v>
      </c>
      <c r="C27">
        <v>27</v>
      </c>
      <c r="D27" s="1" t="s">
        <v>11</v>
      </c>
      <c r="E27" s="1" t="s">
        <v>8</v>
      </c>
      <c r="F27" s="1" t="s">
        <v>15</v>
      </c>
    </row>
    <row r="28" spans="1:6">
      <c r="A28">
        <v>1027</v>
      </c>
      <c r="B28" s="1" t="s">
        <v>6</v>
      </c>
      <c r="C28">
        <v>33</v>
      </c>
      <c r="D28" s="1" t="s">
        <v>11</v>
      </c>
      <c r="E28" s="1" t="s">
        <v>8</v>
      </c>
      <c r="F28" s="1" t="s">
        <v>9</v>
      </c>
    </row>
    <row r="29" spans="1:6">
      <c r="A29">
        <v>1028</v>
      </c>
      <c r="B29" s="1" t="s">
        <v>6</v>
      </c>
      <c r="C29">
        <v>24</v>
      </c>
      <c r="D29" s="1" t="s">
        <v>18</v>
      </c>
      <c r="E29" s="1" t="s">
        <v>8</v>
      </c>
      <c r="F29" s="1" t="s">
        <v>9</v>
      </c>
    </row>
    <row r="30" spans="1:6">
      <c r="A30">
        <v>1029</v>
      </c>
      <c r="B30" s="1" t="s">
        <v>10</v>
      </c>
      <c r="C30">
        <v>34</v>
      </c>
      <c r="D30" s="1" t="s">
        <v>16</v>
      </c>
      <c r="E30" s="1" t="s">
        <v>12</v>
      </c>
      <c r="F30" s="1" t="s">
        <v>17</v>
      </c>
    </row>
    <row r="31" spans="1:6">
      <c r="A31">
        <v>1030</v>
      </c>
      <c r="B31" s="1" t="s">
        <v>6</v>
      </c>
      <c r="C31">
        <v>40</v>
      </c>
      <c r="D31" s="1" t="s">
        <v>11</v>
      </c>
      <c r="E31" s="1" t="s">
        <v>12</v>
      </c>
      <c r="F31" s="1" t="s">
        <v>15</v>
      </c>
    </row>
    <row r="32" spans="1:6">
      <c r="A32">
        <v>1031</v>
      </c>
      <c r="B32" s="1" t="s">
        <v>10</v>
      </c>
      <c r="C32">
        <v>43</v>
      </c>
      <c r="D32" s="1" t="s">
        <v>16</v>
      </c>
      <c r="E32" s="1" t="s">
        <v>8</v>
      </c>
      <c r="F32" s="1" t="s">
        <v>17</v>
      </c>
    </row>
    <row r="33" spans="1:6">
      <c r="A33">
        <v>1032</v>
      </c>
      <c r="B33" s="1" t="s">
        <v>6</v>
      </c>
      <c r="C33">
        <v>38</v>
      </c>
      <c r="D33" s="1" t="s">
        <v>16</v>
      </c>
      <c r="E33" s="1" t="s">
        <v>8</v>
      </c>
      <c r="F33" s="1" t="s">
        <v>9</v>
      </c>
    </row>
    <row r="34" spans="1:6">
      <c r="A34">
        <v>1033</v>
      </c>
      <c r="B34" s="1" t="s">
        <v>6</v>
      </c>
      <c r="C34">
        <v>39</v>
      </c>
      <c r="D34" s="1" t="s">
        <v>16</v>
      </c>
      <c r="E34" s="1" t="s">
        <v>19</v>
      </c>
      <c r="F34" s="1" t="s">
        <v>15</v>
      </c>
    </row>
    <row r="35" spans="1:6">
      <c r="A35">
        <v>1034</v>
      </c>
      <c r="B35" s="1" t="s">
        <v>10</v>
      </c>
      <c r="C35">
        <v>24</v>
      </c>
      <c r="D35" s="1" t="s">
        <v>16</v>
      </c>
      <c r="E35" s="1" t="s">
        <v>12</v>
      </c>
      <c r="F35" s="1" t="s">
        <v>9</v>
      </c>
    </row>
    <row r="36" spans="1:6">
      <c r="A36">
        <v>1035</v>
      </c>
      <c r="B36" s="1" t="s">
        <v>10</v>
      </c>
      <c r="C36">
        <v>31</v>
      </c>
      <c r="D36" s="1" t="s">
        <v>16</v>
      </c>
      <c r="E36" s="1" t="s">
        <v>12</v>
      </c>
      <c r="F36" s="1" t="s">
        <v>20</v>
      </c>
    </row>
    <row r="37" spans="1:6">
      <c r="A37">
        <v>1036</v>
      </c>
      <c r="B37" s="1" t="s">
        <v>10</v>
      </c>
      <c r="C37">
        <v>32</v>
      </c>
      <c r="D37" s="1" t="s">
        <v>16</v>
      </c>
      <c r="E37" s="1" t="s">
        <v>8</v>
      </c>
      <c r="F37" s="1" t="s">
        <v>14</v>
      </c>
    </row>
    <row r="38" spans="1:6">
      <c r="A38">
        <v>1037</v>
      </c>
      <c r="B38" s="1" t="s">
        <v>6</v>
      </c>
      <c r="C38">
        <v>24</v>
      </c>
      <c r="D38" s="1" t="s">
        <v>13</v>
      </c>
      <c r="E38" s="1" t="s">
        <v>12</v>
      </c>
      <c r="F38" s="1" t="s">
        <v>20</v>
      </c>
    </row>
    <row r="39" spans="1:6">
      <c r="A39">
        <v>1038</v>
      </c>
      <c r="B39" s="1" t="s">
        <v>6</v>
      </c>
      <c r="C39">
        <v>26</v>
      </c>
      <c r="D39" s="1" t="s">
        <v>11</v>
      </c>
      <c r="E39" s="1" t="s">
        <v>12</v>
      </c>
      <c r="F39" s="1" t="s">
        <v>9</v>
      </c>
    </row>
    <row r="40" spans="1:6">
      <c r="A40">
        <v>1039</v>
      </c>
      <c r="B40" s="1" t="s">
        <v>10</v>
      </c>
      <c r="C40">
        <v>25</v>
      </c>
      <c r="D40" s="1" t="s">
        <v>13</v>
      </c>
      <c r="E40" s="1" t="s">
        <v>12</v>
      </c>
      <c r="F40" s="1" t="s">
        <v>14</v>
      </c>
    </row>
    <row r="41" spans="1:6">
      <c r="A41">
        <v>1040</v>
      </c>
      <c r="B41" s="1" t="s">
        <v>6</v>
      </c>
      <c r="C41">
        <v>40</v>
      </c>
      <c r="D41" s="1" t="s">
        <v>11</v>
      </c>
      <c r="E41" s="1" t="s">
        <v>19</v>
      </c>
      <c r="F41" s="1" t="s">
        <v>14</v>
      </c>
    </row>
    <row r="42" spans="1:6">
      <c r="A42">
        <v>1041</v>
      </c>
      <c r="B42" s="1" t="s">
        <v>6</v>
      </c>
      <c r="C42">
        <v>46</v>
      </c>
      <c r="D42" s="1" t="s">
        <v>16</v>
      </c>
      <c r="E42" s="1" t="s">
        <v>8</v>
      </c>
      <c r="F42" s="1" t="s">
        <v>15</v>
      </c>
    </row>
    <row r="43" spans="1:6">
      <c r="A43">
        <v>1042</v>
      </c>
      <c r="B43" s="1" t="s">
        <v>6</v>
      </c>
      <c r="C43">
        <v>35</v>
      </c>
      <c r="D43" s="1" t="s">
        <v>11</v>
      </c>
      <c r="E43" s="1" t="s">
        <v>8</v>
      </c>
      <c r="F43" s="1" t="s">
        <v>17</v>
      </c>
    </row>
    <row r="44" spans="1:6">
      <c r="A44">
        <v>1043</v>
      </c>
      <c r="B44" s="1" t="s">
        <v>6</v>
      </c>
      <c r="C44">
        <v>48</v>
      </c>
      <c r="D44" s="1" t="s">
        <v>11</v>
      </c>
      <c r="E44" s="1" t="s">
        <v>12</v>
      </c>
      <c r="F44" s="1" t="s">
        <v>20</v>
      </c>
    </row>
    <row r="45" spans="1:6">
      <c r="A45">
        <v>1044</v>
      </c>
      <c r="B45" s="1" t="s">
        <v>10</v>
      </c>
      <c r="C45">
        <v>47</v>
      </c>
      <c r="D45" s="1" t="s">
        <v>16</v>
      </c>
      <c r="E45" s="1" t="s">
        <v>12</v>
      </c>
      <c r="F45" s="1" t="s">
        <v>17</v>
      </c>
    </row>
    <row r="46" spans="1:6">
      <c r="A46">
        <v>1045</v>
      </c>
      <c r="B46" s="1" t="s">
        <v>6</v>
      </c>
      <c r="C46">
        <v>56</v>
      </c>
      <c r="D46" s="1" t="s">
        <v>11</v>
      </c>
      <c r="E46" s="1" t="s">
        <v>8</v>
      </c>
      <c r="F46" s="1" t="s">
        <v>14</v>
      </c>
    </row>
    <row r="47" spans="1:6">
      <c r="A47">
        <v>1046</v>
      </c>
      <c r="B47" s="1" t="s">
        <v>10</v>
      </c>
      <c r="C47">
        <v>52</v>
      </c>
      <c r="D47" s="1" t="s">
        <v>16</v>
      </c>
      <c r="E47" s="1" t="s">
        <v>8</v>
      </c>
      <c r="F47" s="1" t="s">
        <v>9</v>
      </c>
    </row>
    <row r="48" spans="1:6">
      <c r="A48">
        <v>1047</v>
      </c>
      <c r="B48" s="1" t="s">
        <v>6</v>
      </c>
      <c r="C48">
        <v>35</v>
      </c>
      <c r="D48" s="1" t="s">
        <v>11</v>
      </c>
      <c r="E48" s="1" t="s">
        <v>8</v>
      </c>
      <c r="F48" s="1" t="s">
        <v>9</v>
      </c>
    </row>
    <row r="49" spans="1:6">
      <c r="A49">
        <v>1048</v>
      </c>
      <c r="B49" s="1" t="s">
        <v>10</v>
      </c>
      <c r="C49">
        <v>59</v>
      </c>
      <c r="D49" s="1" t="s">
        <v>18</v>
      </c>
      <c r="E49" s="1" t="s">
        <v>8</v>
      </c>
      <c r="F49" s="1" t="s">
        <v>20</v>
      </c>
    </row>
    <row r="50" spans="1:6">
      <c r="A50">
        <v>1049</v>
      </c>
      <c r="B50" s="1" t="s">
        <v>10</v>
      </c>
      <c r="C50">
        <v>56</v>
      </c>
      <c r="D50" s="1" t="s">
        <v>16</v>
      </c>
      <c r="E50" s="1" t="s">
        <v>12</v>
      </c>
      <c r="F50" s="1" t="s">
        <v>9</v>
      </c>
    </row>
    <row r="51" spans="1:6">
      <c r="A51">
        <v>1050</v>
      </c>
      <c r="B51" s="1" t="s">
        <v>6</v>
      </c>
      <c r="C51">
        <v>34</v>
      </c>
      <c r="D51" s="1" t="s">
        <v>16</v>
      </c>
      <c r="E51" s="1" t="s">
        <v>12</v>
      </c>
      <c r="F51" s="1" t="s">
        <v>14</v>
      </c>
    </row>
    <row r="52" spans="1:6">
      <c r="A52">
        <v>1051</v>
      </c>
      <c r="B52" s="1" t="s">
        <v>10</v>
      </c>
      <c r="C52">
        <v>31</v>
      </c>
      <c r="D52" s="1" t="s">
        <v>18</v>
      </c>
      <c r="E52" s="1" t="s">
        <v>8</v>
      </c>
      <c r="F52" s="1" t="s">
        <v>14</v>
      </c>
    </row>
    <row r="53" spans="1:6">
      <c r="A53">
        <v>1052</v>
      </c>
      <c r="B53" s="1" t="s">
        <v>10</v>
      </c>
      <c r="C53">
        <v>48</v>
      </c>
      <c r="D53" s="1" t="s">
        <v>11</v>
      </c>
      <c r="E53" s="1" t="s">
        <v>8</v>
      </c>
      <c r="F53" s="1" t="s">
        <v>14</v>
      </c>
    </row>
    <row r="54" spans="1:6">
      <c r="A54">
        <v>1053</v>
      </c>
      <c r="B54" s="1" t="s">
        <v>10</v>
      </c>
      <c r="C54">
        <v>41</v>
      </c>
      <c r="D54" s="1" t="s">
        <v>16</v>
      </c>
      <c r="E54" s="1" t="s">
        <v>8</v>
      </c>
      <c r="F54" s="1" t="s">
        <v>20</v>
      </c>
    </row>
    <row r="55" spans="1:6">
      <c r="A55">
        <v>1054</v>
      </c>
      <c r="B55" s="1" t="s">
        <v>10</v>
      </c>
      <c r="C55">
        <v>52</v>
      </c>
      <c r="D55" s="1" t="s">
        <v>13</v>
      </c>
      <c r="E55" s="1" t="s">
        <v>8</v>
      </c>
      <c r="F55" s="1" t="s">
        <v>15</v>
      </c>
    </row>
    <row r="56" spans="1:6">
      <c r="A56">
        <v>1055</v>
      </c>
      <c r="B56" s="1" t="s">
        <v>10</v>
      </c>
      <c r="C56">
        <v>61</v>
      </c>
      <c r="D56" s="1" t="s">
        <v>16</v>
      </c>
      <c r="E56" s="1" t="s">
        <v>12</v>
      </c>
      <c r="F56" s="1" t="s">
        <v>15</v>
      </c>
    </row>
    <row r="57" spans="1:6">
      <c r="A57">
        <v>1056</v>
      </c>
      <c r="B57" s="1" t="s">
        <v>10</v>
      </c>
      <c r="C57">
        <v>62</v>
      </c>
      <c r="D57" s="1" t="s">
        <v>18</v>
      </c>
      <c r="E57" s="1" t="s">
        <v>19</v>
      </c>
      <c r="F57" s="1" t="s">
        <v>9</v>
      </c>
    </row>
    <row r="58" spans="1:6">
      <c r="A58">
        <v>1057</v>
      </c>
      <c r="B58" s="1" t="s">
        <v>6</v>
      </c>
      <c r="C58">
        <v>51</v>
      </c>
      <c r="D58" s="1" t="s">
        <v>13</v>
      </c>
      <c r="E58" s="1" t="s">
        <v>12</v>
      </c>
      <c r="F58" s="1" t="s">
        <v>15</v>
      </c>
    </row>
    <row r="59" spans="1:6">
      <c r="A59">
        <v>1058</v>
      </c>
      <c r="B59" s="1" t="s">
        <v>6</v>
      </c>
      <c r="C59">
        <v>20</v>
      </c>
      <c r="D59" s="1" t="s">
        <v>16</v>
      </c>
      <c r="E59" s="1" t="s">
        <v>8</v>
      </c>
      <c r="F59" s="1" t="s">
        <v>9</v>
      </c>
    </row>
    <row r="60" spans="1:6">
      <c r="A60">
        <v>1059</v>
      </c>
      <c r="B60" s="1" t="s">
        <v>6</v>
      </c>
      <c r="C60">
        <v>54</v>
      </c>
      <c r="D60" s="1" t="s">
        <v>16</v>
      </c>
      <c r="E60" s="1" t="s">
        <v>19</v>
      </c>
      <c r="F60" s="1" t="s">
        <v>15</v>
      </c>
    </row>
    <row r="61" spans="1:6">
      <c r="A61">
        <v>1060</v>
      </c>
      <c r="B61" s="1" t="s">
        <v>6</v>
      </c>
      <c r="C61">
        <v>60</v>
      </c>
      <c r="D61" s="1" t="s">
        <v>16</v>
      </c>
      <c r="E61" s="1" t="s">
        <v>12</v>
      </c>
      <c r="F61" s="1" t="s">
        <v>17</v>
      </c>
    </row>
    <row r="62" spans="1:6">
      <c r="A62">
        <v>1061</v>
      </c>
      <c r="B62" s="1" t="s">
        <v>6</v>
      </c>
      <c r="C62">
        <v>57</v>
      </c>
      <c r="D62" s="1" t="s">
        <v>16</v>
      </c>
      <c r="E62" s="1" t="s">
        <v>12</v>
      </c>
      <c r="F62" s="1" t="s">
        <v>20</v>
      </c>
    </row>
    <row r="63" spans="1:6">
      <c r="A63">
        <v>1062</v>
      </c>
      <c r="B63" s="1" t="s">
        <v>6</v>
      </c>
      <c r="C63">
        <v>43</v>
      </c>
      <c r="D63" s="1" t="s">
        <v>16</v>
      </c>
      <c r="E63" s="1" t="s">
        <v>8</v>
      </c>
      <c r="F63" s="1" t="s">
        <v>9</v>
      </c>
    </row>
    <row r="64" spans="1:6">
      <c r="A64">
        <v>1063</v>
      </c>
      <c r="B64" s="1" t="s">
        <v>10</v>
      </c>
      <c r="C64">
        <v>40</v>
      </c>
      <c r="D64" s="1" t="s">
        <v>18</v>
      </c>
      <c r="E64" s="1" t="s">
        <v>8</v>
      </c>
      <c r="F64" s="1" t="s">
        <v>15</v>
      </c>
    </row>
    <row r="65" spans="1:6">
      <c r="A65">
        <v>1064</v>
      </c>
      <c r="B65" s="1" t="s">
        <v>6</v>
      </c>
      <c r="C65">
        <v>61</v>
      </c>
      <c r="D65" s="1" t="s">
        <v>16</v>
      </c>
      <c r="E65" s="1" t="s">
        <v>8</v>
      </c>
      <c r="F65" s="1" t="s">
        <v>20</v>
      </c>
    </row>
    <row r="66" spans="1:6">
      <c r="A66">
        <v>1065</v>
      </c>
      <c r="B66" s="1" t="s">
        <v>6</v>
      </c>
      <c r="C66">
        <v>56</v>
      </c>
      <c r="D66" s="1" t="s">
        <v>11</v>
      </c>
      <c r="E66" s="1" t="s">
        <v>8</v>
      </c>
      <c r="F66" s="1" t="s">
        <v>9</v>
      </c>
    </row>
    <row r="67" spans="1:6">
      <c r="A67">
        <v>1066</v>
      </c>
      <c r="B67" s="1" t="s">
        <v>10</v>
      </c>
      <c r="C67">
        <v>32</v>
      </c>
      <c r="D67" s="1" t="s">
        <v>13</v>
      </c>
      <c r="E67" s="1" t="s">
        <v>8</v>
      </c>
      <c r="F67" s="1" t="s">
        <v>9</v>
      </c>
    </row>
    <row r="68" spans="1:6">
      <c r="A68">
        <v>1067</v>
      </c>
      <c r="B68" s="1" t="s">
        <v>6</v>
      </c>
      <c r="C68">
        <v>21</v>
      </c>
      <c r="D68" s="1" t="s">
        <v>7</v>
      </c>
      <c r="E68" s="1" t="s">
        <v>8</v>
      </c>
      <c r="F68" s="1" t="s">
        <v>9</v>
      </c>
    </row>
    <row r="69" spans="1:6">
      <c r="A69">
        <v>1068</v>
      </c>
      <c r="B69" s="1" t="s">
        <v>10</v>
      </c>
      <c r="C69">
        <v>46</v>
      </c>
      <c r="D69" s="1" t="s">
        <v>11</v>
      </c>
      <c r="E69" s="1" t="s">
        <v>8</v>
      </c>
      <c r="F69" s="1" t="s">
        <v>14</v>
      </c>
    </row>
    <row r="70" spans="1:6">
      <c r="A70">
        <v>1069</v>
      </c>
      <c r="B70" s="1" t="s">
        <v>6</v>
      </c>
      <c r="C70">
        <v>39</v>
      </c>
      <c r="D70" s="1" t="s">
        <v>16</v>
      </c>
      <c r="E70" s="1" t="s">
        <v>12</v>
      </c>
      <c r="F70" s="1" t="s">
        <v>9</v>
      </c>
    </row>
    <row r="71" spans="1:6">
      <c r="A71">
        <v>1070</v>
      </c>
      <c r="B71" s="1" t="s">
        <v>10</v>
      </c>
      <c r="C71">
        <v>42</v>
      </c>
      <c r="D71" s="1" t="s">
        <v>11</v>
      </c>
      <c r="E71" s="1" t="s">
        <v>8</v>
      </c>
      <c r="F71" s="1" t="s">
        <v>20</v>
      </c>
    </row>
    <row r="72" spans="1:6">
      <c r="A72">
        <v>1071</v>
      </c>
      <c r="B72" s="1" t="s">
        <v>10</v>
      </c>
      <c r="C72">
        <v>30</v>
      </c>
      <c r="D72" s="1" t="s">
        <v>11</v>
      </c>
      <c r="E72" s="1" t="s">
        <v>8</v>
      </c>
      <c r="F72" s="1" t="s">
        <v>15</v>
      </c>
    </row>
    <row r="73" spans="1:6">
      <c r="A73">
        <v>1072</v>
      </c>
      <c r="B73" s="1" t="s">
        <v>6</v>
      </c>
      <c r="C73">
        <v>35</v>
      </c>
      <c r="D73" s="1" t="s">
        <v>11</v>
      </c>
      <c r="E73" s="1" t="s">
        <v>19</v>
      </c>
      <c r="F73" s="1" t="s">
        <v>15</v>
      </c>
    </row>
    <row r="74" spans="1:6">
      <c r="A74">
        <v>1073</v>
      </c>
      <c r="B74" s="1" t="s">
        <v>6</v>
      </c>
      <c r="C74">
        <v>50</v>
      </c>
      <c r="D74" s="1" t="s">
        <v>16</v>
      </c>
      <c r="E74" s="1" t="s">
        <v>19</v>
      </c>
      <c r="F74" s="1" t="s">
        <v>9</v>
      </c>
    </row>
    <row r="75" spans="1:6">
      <c r="A75">
        <v>1074</v>
      </c>
      <c r="B75" s="1" t="s">
        <v>10</v>
      </c>
      <c r="C75">
        <v>33</v>
      </c>
      <c r="D75" s="1" t="s">
        <v>7</v>
      </c>
      <c r="E75" s="1" t="s">
        <v>12</v>
      </c>
      <c r="F75" s="1" t="s">
        <v>15</v>
      </c>
    </row>
    <row r="76" spans="1:6">
      <c r="A76">
        <v>1075</v>
      </c>
      <c r="B76" s="1" t="s">
        <v>10</v>
      </c>
      <c r="C76">
        <v>62</v>
      </c>
      <c r="D76" s="1" t="s">
        <v>11</v>
      </c>
      <c r="E76" s="1" t="s">
        <v>19</v>
      </c>
      <c r="F76" s="1" t="s">
        <v>14</v>
      </c>
    </row>
    <row r="77" spans="1:6">
      <c r="A77">
        <v>1076</v>
      </c>
      <c r="B77" s="1" t="s">
        <v>10</v>
      </c>
      <c r="C77">
        <v>59</v>
      </c>
      <c r="D77" s="1" t="s">
        <v>16</v>
      </c>
      <c r="E77" s="1" t="s">
        <v>12</v>
      </c>
      <c r="F77" s="1" t="s">
        <v>17</v>
      </c>
    </row>
    <row r="78" spans="1:6">
      <c r="A78">
        <v>1077</v>
      </c>
      <c r="B78" s="1" t="s">
        <v>10</v>
      </c>
      <c r="C78">
        <v>61</v>
      </c>
      <c r="D78" s="1" t="s">
        <v>16</v>
      </c>
      <c r="E78" s="1" t="s">
        <v>19</v>
      </c>
      <c r="F78" s="1" t="s">
        <v>17</v>
      </c>
    </row>
    <row r="79" spans="1:6">
      <c r="A79">
        <v>1078</v>
      </c>
      <c r="B79" s="1" t="s">
        <v>6</v>
      </c>
      <c r="C79">
        <v>19</v>
      </c>
      <c r="D79" s="1" t="s">
        <v>11</v>
      </c>
      <c r="E79" s="1" t="s">
        <v>8</v>
      </c>
      <c r="F79" s="1" t="s">
        <v>14</v>
      </c>
    </row>
    <row r="80" spans="1:6">
      <c r="A80">
        <v>1079</v>
      </c>
      <c r="B80" s="1" t="s">
        <v>6</v>
      </c>
      <c r="C80">
        <v>52</v>
      </c>
      <c r="D80" s="1" t="s">
        <v>7</v>
      </c>
      <c r="E80" s="1" t="s">
        <v>8</v>
      </c>
      <c r="F80" s="1" t="s">
        <v>20</v>
      </c>
    </row>
    <row r="81" spans="1:6">
      <c r="A81">
        <v>1080</v>
      </c>
      <c r="B81" s="1" t="s">
        <v>6</v>
      </c>
      <c r="C81">
        <v>59</v>
      </c>
      <c r="D81" s="1" t="s">
        <v>18</v>
      </c>
      <c r="E81" s="1" t="s">
        <v>8</v>
      </c>
      <c r="F81" s="1" t="s">
        <v>17</v>
      </c>
    </row>
    <row r="82" spans="1:6">
      <c r="A82">
        <v>1081</v>
      </c>
      <c r="B82" s="1" t="s">
        <v>10</v>
      </c>
      <c r="C82">
        <v>51</v>
      </c>
      <c r="D82" s="1" t="s">
        <v>18</v>
      </c>
      <c r="E82" s="1" t="s">
        <v>8</v>
      </c>
      <c r="F82" s="1" t="s">
        <v>17</v>
      </c>
    </row>
    <row r="83" spans="1:6">
      <c r="A83">
        <v>1082</v>
      </c>
      <c r="B83" s="1" t="s">
        <v>10</v>
      </c>
      <c r="C83">
        <v>47</v>
      </c>
      <c r="D83" s="1" t="s">
        <v>16</v>
      </c>
      <c r="E83" s="1" t="s">
        <v>8</v>
      </c>
      <c r="F83" s="1" t="s">
        <v>9</v>
      </c>
    </row>
    <row r="84" spans="1:6">
      <c r="A84">
        <v>1083</v>
      </c>
      <c r="B84" s="1" t="s">
        <v>6</v>
      </c>
      <c r="C84">
        <v>30</v>
      </c>
      <c r="D84" s="1" t="s">
        <v>11</v>
      </c>
      <c r="E84" s="1" t="s">
        <v>12</v>
      </c>
      <c r="F84" s="1" t="s">
        <v>9</v>
      </c>
    </row>
    <row r="85" spans="1:6">
      <c r="A85">
        <v>1084</v>
      </c>
      <c r="B85" s="1" t="s">
        <v>6</v>
      </c>
      <c r="C85">
        <v>30</v>
      </c>
      <c r="D85" s="1" t="s">
        <v>11</v>
      </c>
      <c r="E85" s="1" t="s">
        <v>12</v>
      </c>
      <c r="F85" s="1" t="s">
        <v>9</v>
      </c>
    </row>
    <row r="86" spans="1:6">
      <c r="A86">
        <v>1085</v>
      </c>
      <c r="B86" s="1" t="s">
        <v>6</v>
      </c>
      <c r="C86">
        <v>35</v>
      </c>
      <c r="D86" s="1" t="s">
        <v>16</v>
      </c>
      <c r="E86" s="1" t="s">
        <v>12</v>
      </c>
      <c r="F86" s="1" t="s">
        <v>14</v>
      </c>
    </row>
    <row r="87" spans="1:6">
      <c r="A87">
        <v>1086</v>
      </c>
      <c r="B87" s="1" t="s">
        <v>6</v>
      </c>
      <c r="C87">
        <v>49</v>
      </c>
      <c r="D87" s="1" t="s">
        <v>16</v>
      </c>
      <c r="E87" s="1" t="s">
        <v>8</v>
      </c>
      <c r="F87" s="1" t="s">
        <v>15</v>
      </c>
    </row>
    <row r="88" spans="1:6">
      <c r="A88">
        <v>1087</v>
      </c>
      <c r="B88" s="1" t="s">
        <v>10</v>
      </c>
      <c r="C88">
        <v>49</v>
      </c>
      <c r="D88" s="1" t="s">
        <v>18</v>
      </c>
      <c r="E88" s="1" t="s">
        <v>12</v>
      </c>
      <c r="F88" s="1" t="s">
        <v>15</v>
      </c>
    </row>
    <row r="89" spans="1:6">
      <c r="A89">
        <v>1088</v>
      </c>
      <c r="B89" s="1" t="s">
        <v>10</v>
      </c>
      <c r="C89">
        <v>52</v>
      </c>
      <c r="D89" s="1" t="s">
        <v>16</v>
      </c>
      <c r="E89" s="1" t="s">
        <v>12</v>
      </c>
      <c r="F89" s="1" t="s">
        <v>17</v>
      </c>
    </row>
    <row r="90" spans="1:6">
      <c r="A90">
        <v>1089</v>
      </c>
      <c r="B90" s="1" t="s">
        <v>10</v>
      </c>
      <c r="C90">
        <v>56</v>
      </c>
      <c r="D90" s="1" t="s">
        <v>11</v>
      </c>
      <c r="E90" s="1" t="s">
        <v>8</v>
      </c>
      <c r="F90" s="1" t="s">
        <v>17</v>
      </c>
    </row>
    <row r="91" spans="1:6">
      <c r="A91">
        <v>1090</v>
      </c>
      <c r="B91" s="1" t="s">
        <v>6</v>
      </c>
      <c r="C91">
        <v>63</v>
      </c>
      <c r="D91" s="1" t="s">
        <v>16</v>
      </c>
      <c r="E91" s="1" t="s">
        <v>12</v>
      </c>
      <c r="F91" s="1" t="s">
        <v>20</v>
      </c>
    </row>
    <row r="92" spans="1:6">
      <c r="A92">
        <v>1091</v>
      </c>
      <c r="B92" s="1" t="s">
        <v>6</v>
      </c>
      <c r="C92">
        <v>46</v>
      </c>
      <c r="D92" s="1" t="s">
        <v>16</v>
      </c>
      <c r="E92" s="1" t="s">
        <v>8</v>
      </c>
      <c r="F92" s="1" t="s">
        <v>15</v>
      </c>
    </row>
    <row r="93" spans="1:6">
      <c r="A93">
        <v>1092</v>
      </c>
      <c r="B93" s="1" t="s">
        <v>10</v>
      </c>
      <c r="C93">
        <v>46</v>
      </c>
      <c r="D93" s="1" t="s">
        <v>16</v>
      </c>
      <c r="E93" s="1" t="s">
        <v>8</v>
      </c>
      <c r="F93" s="1" t="s">
        <v>14</v>
      </c>
    </row>
    <row r="94" spans="1:6">
      <c r="A94">
        <v>1093</v>
      </c>
      <c r="B94" s="1" t="s">
        <v>10</v>
      </c>
      <c r="C94">
        <v>61</v>
      </c>
      <c r="D94" s="1" t="s">
        <v>13</v>
      </c>
      <c r="E94" s="1" t="s">
        <v>19</v>
      </c>
      <c r="F94" s="1" t="s">
        <v>9</v>
      </c>
    </row>
    <row r="95" spans="1:6">
      <c r="A95">
        <v>1094</v>
      </c>
      <c r="B95" s="1" t="s">
        <v>10</v>
      </c>
      <c r="C95">
        <v>33</v>
      </c>
      <c r="D95" s="1" t="s">
        <v>7</v>
      </c>
      <c r="E95" s="1" t="s">
        <v>8</v>
      </c>
      <c r="F95" s="1" t="s">
        <v>9</v>
      </c>
    </row>
    <row r="96" spans="1:6">
      <c r="A96">
        <v>1095</v>
      </c>
      <c r="B96" s="1" t="s">
        <v>10</v>
      </c>
      <c r="C96">
        <v>61</v>
      </c>
      <c r="D96" s="1" t="s">
        <v>13</v>
      </c>
      <c r="E96" s="1" t="s">
        <v>8</v>
      </c>
      <c r="F96" s="1" t="s">
        <v>9</v>
      </c>
    </row>
    <row r="97" spans="1:6">
      <c r="A97">
        <v>1096</v>
      </c>
      <c r="B97" s="1" t="s">
        <v>6</v>
      </c>
      <c r="C97">
        <v>64</v>
      </c>
      <c r="D97" s="1" t="s">
        <v>11</v>
      </c>
      <c r="E97" s="1" t="s">
        <v>19</v>
      </c>
      <c r="F97" s="1" t="s">
        <v>15</v>
      </c>
    </row>
    <row r="98" spans="1:6">
      <c r="A98">
        <v>1097</v>
      </c>
      <c r="B98" s="1" t="s">
        <v>10</v>
      </c>
      <c r="C98">
        <v>27</v>
      </c>
      <c r="D98" s="1" t="s">
        <v>16</v>
      </c>
      <c r="E98" s="1" t="s">
        <v>12</v>
      </c>
      <c r="F98" s="1" t="s">
        <v>15</v>
      </c>
    </row>
    <row r="99" spans="1:6">
      <c r="A99">
        <v>1098</v>
      </c>
      <c r="B99" s="1" t="s">
        <v>6</v>
      </c>
      <c r="C99">
        <v>47</v>
      </c>
      <c r="D99" s="1" t="s">
        <v>11</v>
      </c>
      <c r="E99" s="1" t="s">
        <v>8</v>
      </c>
      <c r="F99" s="1" t="s">
        <v>17</v>
      </c>
    </row>
    <row r="100" spans="1:6">
      <c r="A100">
        <v>1099</v>
      </c>
      <c r="B100" s="1" t="s">
        <v>6</v>
      </c>
      <c r="C100">
        <v>42</v>
      </c>
      <c r="D100" s="1" t="s">
        <v>11</v>
      </c>
      <c r="E100" s="1" t="s">
        <v>8</v>
      </c>
      <c r="F100" s="1" t="s">
        <v>9</v>
      </c>
    </row>
    <row r="101" spans="1:6">
      <c r="A101">
        <v>1100</v>
      </c>
      <c r="B101" s="1" t="s">
        <v>6</v>
      </c>
      <c r="C101">
        <v>56</v>
      </c>
      <c r="D101" s="1" t="s">
        <v>7</v>
      </c>
      <c r="E101" s="1" t="s">
        <v>8</v>
      </c>
      <c r="F101" s="1" t="s">
        <v>14</v>
      </c>
    </row>
    <row r="102" spans="1:6">
      <c r="A102">
        <v>1101</v>
      </c>
      <c r="B102" s="1" t="s">
        <v>6</v>
      </c>
      <c r="C102">
        <v>37</v>
      </c>
      <c r="D102" s="1" t="s">
        <v>16</v>
      </c>
      <c r="E102" s="1" t="s">
        <v>12</v>
      </c>
      <c r="F102" s="1" t="s">
        <v>15</v>
      </c>
    </row>
    <row r="103" spans="1:6">
      <c r="A103">
        <v>1102</v>
      </c>
      <c r="B103" s="1" t="s">
        <v>10</v>
      </c>
      <c r="C103">
        <v>22</v>
      </c>
      <c r="D103" s="1" t="s">
        <v>11</v>
      </c>
      <c r="E103" s="1" t="s">
        <v>8</v>
      </c>
      <c r="F103" s="1" t="s">
        <v>9</v>
      </c>
    </row>
    <row r="104" spans="1:6">
      <c r="A104">
        <v>1103</v>
      </c>
      <c r="B104" s="1" t="s">
        <v>6</v>
      </c>
      <c r="C104">
        <v>18</v>
      </c>
      <c r="D104" s="1" t="s">
        <v>16</v>
      </c>
      <c r="E104" s="1" t="s">
        <v>8</v>
      </c>
      <c r="F104" s="1" t="s">
        <v>15</v>
      </c>
    </row>
    <row r="105" spans="1:6">
      <c r="A105">
        <v>1104</v>
      </c>
      <c r="B105" s="1" t="s">
        <v>6</v>
      </c>
      <c r="C105">
        <v>47</v>
      </c>
      <c r="D105" s="1" t="s">
        <v>16</v>
      </c>
      <c r="E105" s="1" t="s">
        <v>19</v>
      </c>
      <c r="F105" s="1" t="s">
        <v>9</v>
      </c>
    </row>
    <row r="106" spans="1:6">
      <c r="A106">
        <v>1105</v>
      </c>
      <c r="B106" s="1" t="s">
        <v>10</v>
      </c>
      <c r="C106">
        <v>20</v>
      </c>
      <c r="D106" s="1" t="s">
        <v>18</v>
      </c>
      <c r="E106" s="1" t="s">
        <v>12</v>
      </c>
      <c r="F106" s="1" t="s">
        <v>14</v>
      </c>
    </row>
    <row r="107" spans="1:6">
      <c r="A107">
        <v>1106</v>
      </c>
      <c r="B107" s="1" t="s">
        <v>6</v>
      </c>
      <c r="C107">
        <v>62</v>
      </c>
      <c r="D107" s="1" t="s">
        <v>11</v>
      </c>
      <c r="E107" s="1" t="s">
        <v>8</v>
      </c>
      <c r="F107" s="1" t="s">
        <v>15</v>
      </c>
    </row>
    <row r="108" spans="1:6">
      <c r="A108">
        <v>1107</v>
      </c>
      <c r="B108" s="1" t="s">
        <v>6</v>
      </c>
      <c r="C108">
        <v>31</v>
      </c>
      <c r="D108" s="1" t="s">
        <v>16</v>
      </c>
      <c r="E108" s="1" t="s">
        <v>12</v>
      </c>
      <c r="F108" s="1" t="s">
        <v>9</v>
      </c>
    </row>
    <row r="109" spans="1:6">
      <c r="A109">
        <v>1108</v>
      </c>
      <c r="B109" s="1" t="s">
        <v>10</v>
      </c>
      <c r="C109">
        <v>47</v>
      </c>
      <c r="D109" s="1" t="s">
        <v>16</v>
      </c>
      <c r="E109" s="1" t="s">
        <v>12</v>
      </c>
      <c r="F109" s="1" t="s">
        <v>9</v>
      </c>
    </row>
    <row r="110" spans="1:6">
      <c r="A110">
        <v>1109</v>
      </c>
      <c r="B110" s="1" t="s">
        <v>6</v>
      </c>
      <c r="C110">
        <v>21</v>
      </c>
      <c r="D110" s="1" t="s">
        <v>11</v>
      </c>
      <c r="E110" s="1" t="s">
        <v>8</v>
      </c>
      <c r="F110" s="1" t="s">
        <v>15</v>
      </c>
    </row>
    <row r="111" spans="1:6">
      <c r="A111">
        <v>1110</v>
      </c>
      <c r="B111" s="1" t="s">
        <v>6</v>
      </c>
      <c r="C111">
        <v>35</v>
      </c>
      <c r="D111" s="1" t="s">
        <v>18</v>
      </c>
      <c r="E111" s="1" t="s">
        <v>8</v>
      </c>
      <c r="F111" s="1" t="s">
        <v>20</v>
      </c>
    </row>
    <row r="112" spans="1:6">
      <c r="A112">
        <v>1111</v>
      </c>
      <c r="B112" s="1" t="s">
        <v>6</v>
      </c>
      <c r="C112">
        <v>54</v>
      </c>
      <c r="D112" s="1" t="s">
        <v>7</v>
      </c>
      <c r="E112" s="1" t="s">
        <v>12</v>
      </c>
      <c r="F112" s="1" t="s">
        <v>15</v>
      </c>
    </row>
    <row r="113" spans="1:6">
      <c r="A113">
        <v>1112</v>
      </c>
      <c r="B113" s="1" t="s">
        <v>6</v>
      </c>
      <c r="C113">
        <v>42</v>
      </c>
      <c r="D113" s="1" t="s">
        <v>13</v>
      </c>
      <c r="E113" s="1" t="s">
        <v>8</v>
      </c>
      <c r="F113" s="1" t="s">
        <v>14</v>
      </c>
    </row>
    <row r="114" spans="1:6">
      <c r="A114">
        <v>1113</v>
      </c>
      <c r="B114" s="1" t="s">
        <v>10</v>
      </c>
      <c r="C114">
        <v>18</v>
      </c>
      <c r="D114" s="1" t="s">
        <v>18</v>
      </c>
      <c r="E114" s="1" t="s">
        <v>12</v>
      </c>
      <c r="F114" s="1" t="s">
        <v>14</v>
      </c>
    </row>
    <row r="115" spans="1:6">
      <c r="A115">
        <v>1114</v>
      </c>
      <c r="B115" s="1" t="s">
        <v>10</v>
      </c>
      <c r="C115">
        <v>63</v>
      </c>
      <c r="D115" s="1" t="s">
        <v>16</v>
      </c>
      <c r="E115" s="1" t="s">
        <v>8</v>
      </c>
      <c r="F115" s="1" t="s">
        <v>20</v>
      </c>
    </row>
    <row r="116" spans="1:6">
      <c r="A116">
        <v>1115</v>
      </c>
      <c r="B116" s="1" t="s">
        <v>10</v>
      </c>
      <c r="C116">
        <v>32</v>
      </c>
      <c r="D116" s="1" t="s">
        <v>18</v>
      </c>
      <c r="E116" s="1" t="s">
        <v>8</v>
      </c>
      <c r="F116" s="1" t="s">
        <v>17</v>
      </c>
    </row>
    <row r="117" spans="1:6">
      <c r="A117">
        <v>1116</v>
      </c>
      <c r="B117" s="1" t="s">
        <v>10</v>
      </c>
      <c r="C117">
        <v>26</v>
      </c>
      <c r="D117" s="1" t="s">
        <v>11</v>
      </c>
      <c r="E117" s="1" t="s">
        <v>8</v>
      </c>
      <c r="F117" s="1" t="s">
        <v>14</v>
      </c>
    </row>
    <row r="118" spans="1:6">
      <c r="A118">
        <v>1117</v>
      </c>
      <c r="B118" s="1" t="s">
        <v>10</v>
      </c>
      <c r="C118">
        <v>32</v>
      </c>
      <c r="D118" s="1" t="s">
        <v>16</v>
      </c>
      <c r="E118" s="1" t="s">
        <v>8</v>
      </c>
      <c r="F118" s="1" t="s">
        <v>14</v>
      </c>
    </row>
    <row r="119" spans="1:6">
      <c r="A119">
        <v>1118</v>
      </c>
      <c r="B119" s="1" t="s">
        <v>6</v>
      </c>
      <c r="C119">
        <v>41</v>
      </c>
      <c r="D119" s="1" t="s">
        <v>7</v>
      </c>
      <c r="E119" s="1" t="s">
        <v>8</v>
      </c>
      <c r="F119" s="1" t="s">
        <v>17</v>
      </c>
    </row>
    <row r="120" spans="1:6">
      <c r="A120">
        <v>1119</v>
      </c>
      <c r="B120" s="1" t="s">
        <v>10</v>
      </c>
      <c r="C120">
        <v>21</v>
      </c>
      <c r="D120" s="1" t="s">
        <v>16</v>
      </c>
      <c r="E120" s="1" t="s">
        <v>8</v>
      </c>
      <c r="F120" s="1" t="s">
        <v>15</v>
      </c>
    </row>
    <row r="121" spans="1:6">
      <c r="A121">
        <v>1120</v>
      </c>
      <c r="B121" s="1" t="s">
        <v>10</v>
      </c>
      <c r="C121">
        <v>29</v>
      </c>
      <c r="D121" s="1" t="s">
        <v>7</v>
      </c>
      <c r="E121" s="1" t="s">
        <v>12</v>
      </c>
      <c r="F121" s="1" t="s">
        <v>15</v>
      </c>
    </row>
    <row r="122" spans="1:6">
      <c r="A122">
        <v>1121</v>
      </c>
      <c r="B122" s="1" t="s">
        <v>10</v>
      </c>
      <c r="C122">
        <v>54</v>
      </c>
      <c r="D122" s="1" t="s">
        <v>11</v>
      </c>
      <c r="E122" s="1" t="s">
        <v>19</v>
      </c>
      <c r="F122" s="1" t="s">
        <v>9</v>
      </c>
    </row>
    <row r="123" spans="1:6">
      <c r="A123">
        <v>1122</v>
      </c>
      <c r="B123" s="1" t="s">
        <v>10</v>
      </c>
      <c r="C123">
        <v>54</v>
      </c>
      <c r="D123" s="1" t="s">
        <v>11</v>
      </c>
      <c r="E123" s="1" t="s">
        <v>12</v>
      </c>
      <c r="F123" s="1" t="s">
        <v>17</v>
      </c>
    </row>
    <row r="124" spans="1:6">
      <c r="A124">
        <v>1123</v>
      </c>
      <c r="B124" s="1" t="s">
        <v>6</v>
      </c>
      <c r="C124">
        <v>60</v>
      </c>
      <c r="D124" s="1" t="s">
        <v>18</v>
      </c>
      <c r="E124" s="1" t="s">
        <v>19</v>
      </c>
      <c r="F124" s="1" t="s">
        <v>17</v>
      </c>
    </row>
    <row r="125" spans="1:6">
      <c r="A125">
        <v>1124</v>
      </c>
      <c r="B125" s="1" t="s">
        <v>6</v>
      </c>
      <c r="C125">
        <v>23</v>
      </c>
      <c r="D125" s="1" t="s">
        <v>7</v>
      </c>
      <c r="E125" s="1" t="s">
        <v>8</v>
      </c>
      <c r="F125" s="1" t="s">
        <v>9</v>
      </c>
    </row>
    <row r="126" spans="1:6">
      <c r="A126">
        <v>1125</v>
      </c>
      <c r="B126" s="1" t="s">
        <v>6</v>
      </c>
      <c r="C126">
        <v>56</v>
      </c>
      <c r="D126" s="1" t="s">
        <v>11</v>
      </c>
      <c r="E126" s="1" t="s">
        <v>19</v>
      </c>
      <c r="F126" s="1" t="s">
        <v>14</v>
      </c>
    </row>
    <row r="127" spans="1:6">
      <c r="A127">
        <v>1126</v>
      </c>
      <c r="B127" s="1" t="s">
        <v>6</v>
      </c>
      <c r="C127">
        <v>63</v>
      </c>
      <c r="D127" s="1" t="s">
        <v>11</v>
      </c>
      <c r="E127" s="1" t="s">
        <v>8</v>
      </c>
      <c r="F127" s="1" t="s">
        <v>15</v>
      </c>
    </row>
    <row r="128" spans="1:6">
      <c r="A128">
        <v>1127</v>
      </c>
      <c r="B128" s="1" t="s">
        <v>10</v>
      </c>
      <c r="C128">
        <v>41</v>
      </c>
      <c r="D128" s="1" t="s">
        <v>16</v>
      </c>
      <c r="E128" s="1" t="s">
        <v>19</v>
      </c>
      <c r="F128" s="1" t="s">
        <v>9</v>
      </c>
    </row>
    <row r="129" spans="1:6">
      <c r="A129">
        <v>1128</v>
      </c>
      <c r="B129" s="1" t="s">
        <v>10</v>
      </c>
      <c r="C129">
        <v>28</v>
      </c>
      <c r="D129" s="1" t="s">
        <v>11</v>
      </c>
      <c r="E129" s="1" t="s">
        <v>19</v>
      </c>
      <c r="F129" s="1" t="s">
        <v>20</v>
      </c>
    </row>
    <row r="130" spans="1:6">
      <c r="A130">
        <v>1129</v>
      </c>
      <c r="B130" s="1" t="s">
        <v>6</v>
      </c>
      <c r="C130">
        <v>30</v>
      </c>
      <c r="D130" s="1" t="s">
        <v>16</v>
      </c>
      <c r="E130" s="1" t="s">
        <v>12</v>
      </c>
      <c r="F130" s="1" t="s">
        <v>9</v>
      </c>
    </row>
    <row r="131" spans="1:6">
      <c r="A131">
        <v>1130</v>
      </c>
      <c r="B131" s="1" t="s">
        <v>6</v>
      </c>
      <c r="C131">
        <v>51</v>
      </c>
      <c r="D131" s="1" t="s">
        <v>18</v>
      </c>
      <c r="E131" s="1" t="s">
        <v>19</v>
      </c>
      <c r="F131" s="1" t="s">
        <v>9</v>
      </c>
    </row>
    <row r="132" spans="1:6">
      <c r="A132">
        <v>1131</v>
      </c>
      <c r="B132" s="1" t="s">
        <v>6</v>
      </c>
      <c r="C132">
        <v>42</v>
      </c>
      <c r="D132" s="1" t="s">
        <v>11</v>
      </c>
      <c r="E132" s="1" t="s">
        <v>12</v>
      </c>
      <c r="F132" s="1" t="s">
        <v>14</v>
      </c>
    </row>
    <row r="133" spans="1:6">
      <c r="A133">
        <v>1132</v>
      </c>
      <c r="B133" s="1" t="s">
        <v>6</v>
      </c>
      <c r="C133">
        <v>24</v>
      </c>
      <c r="D133" s="1" t="s">
        <v>18</v>
      </c>
      <c r="E133" s="1" t="s">
        <v>8</v>
      </c>
      <c r="F133" s="1" t="s">
        <v>14</v>
      </c>
    </row>
    <row r="134" spans="1:6">
      <c r="A134">
        <v>1133</v>
      </c>
      <c r="B134" s="1" t="s">
        <v>6</v>
      </c>
      <c r="C134">
        <v>21</v>
      </c>
      <c r="D134" s="1" t="s">
        <v>16</v>
      </c>
      <c r="E134" s="1" t="s">
        <v>8</v>
      </c>
      <c r="F134" s="1" t="s">
        <v>9</v>
      </c>
    </row>
    <row r="135" spans="1:6">
      <c r="A135">
        <v>1134</v>
      </c>
      <c r="B135" s="1" t="s">
        <v>6</v>
      </c>
      <c r="C135">
        <v>25</v>
      </c>
      <c r="D135" s="1" t="s">
        <v>16</v>
      </c>
      <c r="E135" s="1" t="s">
        <v>12</v>
      </c>
      <c r="F135" s="1" t="s">
        <v>14</v>
      </c>
    </row>
    <row r="136" spans="1:6">
      <c r="A136">
        <v>1135</v>
      </c>
      <c r="B136" s="1" t="s">
        <v>10</v>
      </c>
      <c r="C136">
        <v>37</v>
      </c>
      <c r="D136" s="1" t="s">
        <v>18</v>
      </c>
      <c r="E136" s="1" t="s">
        <v>8</v>
      </c>
      <c r="F136" s="1" t="s">
        <v>15</v>
      </c>
    </row>
    <row r="137" spans="1:6">
      <c r="A137">
        <v>1136</v>
      </c>
      <c r="B137" s="1" t="s">
        <v>6</v>
      </c>
      <c r="C137">
        <v>46</v>
      </c>
      <c r="D137" s="1" t="s">
        <v>16</v>
      </c>
      <c r="E137" s="1" t="s">
        <v>12</v>
      </c>
      <c r="F137" s="1" t="s">
        <v>9</v>
      </c>
    </row>
    <row r="138" spans="1:6">
      <c r="A138">
        <v>1137</v>
      </c>
      <c r="B138" s="1" t="s">
        <v>6</v>
      </c>
      <c r="C138">
        <v>62</v>
      </c>
      <c r="D138" s="1" t="s">
        <v>16</v>
      </c>
      <c r="E138" s="1" t="s">
        <v>19</v>
      </c>
      <c r="F138" s="1" t="s">
        <v>9</v>
      </c>
    </row>
    <row r="139" spans="1:6">
      <c r="A139">
        <v>1138</v>
      </c>
      <c r="B139" s="1" t="s">
        <v>10</v>
      </c>
      <c r="C139">
        <v>63</v>
      </c>
      <c r="D139" s="1" t="s">
        <v>16</v>
      </c>
      <c r="E139" s="1" t="s">
        <v>8</v>
      </c>
      <c r="F139" s="1" t="s">
        <v>14</v>
      </c>
    </row>
    <row r="140" spans="1:6">
      <c r="A140">
        <v>1139</v>
      </c>
      <c r="B140" s="1" t="s">
        <v>6</v>
      </c>
      <c r="C140">
        <v>27</v>
      </c>
      <c r="D140" s="1" t="s">
        <v>13</v>
      </c>
      <c r="E140" s="1" t="s">
        <v>12</v>
      </c>
      <c r="F140" s="1" t="s">
        <v>9</v>
      </c>
    </row>
    <row r="141" spans="1:6">
      <c r="A141">
        <v>1140</v>
      </c>
      <c r="B141" s="1" t="s">
        <v>10</v>
      </c>
      <c r="C141">
        <v>60</v>
      </c>
      <c r="D141" s="1" t="s">
        <v>18</v>
      </c>
      <c r="E141" s="1" t="s">
        <v>19</v>
      </c>
      <c r="F141" s="1" t="s">
        <v>20</v>
      </c>
    </row>
    <row r="142" spans="1:6">
      <c r="A142">
        <v>1141</v>
      </c>
      <c r="B142" s="1" t="s">
        <v>10</v>
      </c>
      <c r="C142">
        <v>51</v>
      </c>
      <c r="D142" s="1" t="s">
        <v>16</v>
      </c>
      <c r="E142" s="1" t="s">
        <v>19</v>
      </c>
      <c r="F142" s="1" t="s">
        <v>17</v>
      </c>
    </row>
    <row r="143" spans="1:6">
      <c r="A143">
        <v>1142</v>
      </c>
      <c r="B143" s="1" t="s">
        <v>6</v>
      </c>
      <c r="C143">
        <v>43</v>
      </c>
      <c r="D143" s="1" t="s">
        <v>16</v>
      </c>
      <c r="E143" s="1" t="s">
        <v>19</v>
      </c>
      <c r="F143" s="1" t="s">
        <v>20</v>
      </c>
    </row>
    <row r="144" spans="1:6">
      <c r="A144">
        <v>1143</v>
      </c>
      <c r="B144" s="1" t="s">
        <v>6</v>
      </c>
      <c r="C144">
        <v>58</v>
      </c>
      <c r="D144" s="1" t="s">
        <v>16</v>
      </c>
      <c r="E144" s="1" t="s">
        <v>12</v>
      </c>
      <c r="F144" s="1" t="s">
        <v>9</v>
      </c>
    </row>
    <row r="145" spans="1:6">
      <c r="A145">
        <v>1144</v>
      </c>
      <c r="B145" s="1" t="s">
        <v>6</v>
      </c>
      <c r="C145">
        <v>20</v>
      </c>
      <c r="D145" s="1" t="s">
        <v>18</v>
      </c>
      <c r="E145" s="1" t="s">
        <v>19</v>
      </c>
      <c r="F145" s="1" t="s">
        <v>20</v>
      </c>
    </row>
    <row r="146" spans="1:6">
      <c r="A146">
        <v>1145</v>
      </c>
      <c r="B146" s="1" t="s">
        <v>6</v>
      </c>
      <c r="C146">
        <v>23</v>
      </c>
      <c r="D146" s="1" t="s">
        <v>18</v>
      </c>
      <c r="E146" s="1" t="s">
        <v>12</v>
      </c>
      <c r="F146" s="1" t="s">
        <v>15</v>
      </c>
    </row>
    <row r="147" spans="1:6">
      <c r="A147">
        <v>1146</v>
      </c>
      <c r="B147" s="1" t="s">
        <v>6</v>
      </c>
      <c r="C147">
        <v>22</v>
      </c>
      <c r="D147" s="1" t="s">
        <v>16</v>
      </c>
      <c r="E147" s="1" t="s">
        <v>8</v>
      </c>
      <c r="F147" s="1" t="s">
        <v>15</v>
      </c>
    </row>
    <row r="148" spans="1:6">
      <c r="A148">
        <v>1147</v>
      </c>
      <c r="B148" s="1" t="s">
        <v>10</v>
      </c>
      <c r="C148">
        <v>22</v>
      </c>
      <c r="D148" s="1" t="s">
        <v>16</v>
      </c>
      <c r="E148" s="1" t="s">
        <v>8</v>
      </c>
      <c r="F148" s="1" t="s">
        <v>9</v>
      </c>
    </row>
    <row r="149" spans="1:6">
      <c r="A149">
        <v>1148</v>
      </c>
      <c r="B149" s="1" t="s">
        <v>6</v>
      </c>
      <c r="C149">
        <v>64</v>
      </c>
      <c r="D149" s="1" t="s">
        <v>16</v>
      </c>
      <c r="E149" s="1" t="s">
        <v>12</v>
      </c>
      <c r="F149" s="1" t="s">
        <v>9</v>
      </c>
    </row>
    <row r="150" spans="1:6">
      <c r="A150">
        <v>1149</v>
      </c>
      <c r="B150" s="1" t="s">
        <v>6</v>
      </c>
      <c r="C150">
        <v>40</v>
      </c>
      <c r="D150" s="1" t="s">
        <v>18</v>
      </c>
      <c r="E150" s="1" t="s">
        <v>8</v>
      </c>
      <c r="F150" s="1" t="s">
        <v>14</v>
      </c>
    </row>
    <row r="151" spans="1:6">
      <c r="A151">
        <v>1150</v>
      </c>
      <c r="B151" s="1" t="s">
        <v>6</v>
      </c>
      <c r="C151">
        <v>26</v>
      </c>
      <c r="D151" s="1" t="s">
        <v>18</v>
      </c>
      <c r="E151" s="1" t="s">
        <v>12</v>
      </c>
      <c r="F151" s="1" t="s">
        <v>15</v>
      </c>
    </row>
    <row r="152" spans="1:6">
      <c r="A152">
        <v>1151</v>
      </c>
      <c r="B152" s="1" t="s">
        <v>10</v>
      </c>
      <c r="C152">
        <v>52</v>
      </c>
      <c r="D152" s="1" t="s">
        <v>16</v>
      </c>
      <c r="E152" s="1" t="s">
        <v>12</v>
      </c>
      <c r="F152" s="1" t="s">
        <v>9</v>
      </c>
    </row>
    <row r="153" spans="1:6">
      <c r="A153">
        <v>1152</v>
      </c>
      <c r="B153" s="1" t="s">
        <v>6</v>
      </c>
      <c r="C153">
        <v>37</v>
      </c>
      <c r="D153" s="1" t="s">
        <v>16</v>
      </c>
      <c r="E153" s="1" t="s">
        <v>8</v>
      </c>
      <c r="F153" s="1" t="s">
        <v>14</v>
      </c>
    </row>
    <row r="154" spans="1:6">
      <c r="A154">
        <v>1153</v>
      </c>
      <c r="B154" s="1" t="s">
        <v>6</v>
      </c>
      <c r="C154">
        <v>59</v>
      </c>
      <c r="D154" s="1" t="s">
        <v>16</v>
      </c>
      <c r="E154" s="1" t="s">
        <v>12</v>
      </c>
      <c r="F154" s="1" t="s">
        <v>9</v>
      </c>
    </row>
    <row r="155" spans="1:6">
      <c r="A155">
        <v>1154</v>
      </c>
      <c r="B155" s="1" t="s">
        <v>6</v>
      </c>
      <c r="C155">
        <v>52</v>
      </c>
      <c r="D155" s="1" t="s">
        <v>13</v>
      </c>
      <c r="E155" s="1" t="s">
        <v>12</v>
      </c>
      <c r="F155" s="1" t="s">
        <v>14</v>
      </c>
    </row>
    <row r="156" spans="1:6">
      <c r="A156">
        <v>1155</v>
      </c>
      <c r="B156" s="1" t="s">
        <v>10</v>
      </c>
      <c r="C156">
        <v>35</v>
      </c>
      <c r="D156" s="1" t="s">
        <v>16</v>
      </c>
      <c r="E156" s="1" t="s">
        <v>8</v>
      </c>
      <c r="F156" s="1" t="s">
        <v>15</v>
      </c>
    </row>
    <row r="157" spans="1:6">
      <c r="A157">
        <v>1156</v>
      </c>
      <c r="B157" s="1" t="s">
        <v>6</v>
      </c>
      <c r="C157">
        <v>34</v>
      </c>
      <c r="D157" s="1" t="s">
        <v>18</v>
      </c>
      <c r="E157" s="1" t="s">
        <v>8</v>
      </c>
      <c r="F157" s="1" t="s">
        <v>17</v>
      </c>
    </row>
    <row r="158" spans="1:6">
      <c r="A158">
        <v>1157</v>
      </c>
      <c r="B158" s="1" t="s">
        <v>10</v>
      </c>
      <c r="C158">
        <v>41</v>
      </c>
      <c r="D158" s="1" t="s">
        <v>11</v>
      </c>
      <c r="E158" s="1" t="s">
        <v>8</v>
      </c>
      <c r="F158" s="1" t="s">
        <v>17</v>
      </c>
    </row>
    <row r="159" spans="1:6">
      <c r="A159">
        <v>1158</v>
      </c>
      <c r="B159" s="1" t="s">
        <v>10</v>
      </c>
      <c r="C159">
        <v>20</v>
      </c>
      <c r="D159" s="1" t="s">
        <v>16</v>
      </c>
      <c r="E159" s="1" t="s">
        <v>8</v>
      </c>
      <c r="F159" s="1" t="s">
        <v>15</v>
      </c>
    </row>
    <row r="160" spans="1:6">
      <c r="A160">
        <v>1159</v>
      </c>
      <c r="B160" s="1" t="s">
        <v>6</v>
      </c>
      <c r="C160">
        <v>49</v>
      </c>
      <c r="D160" s="1" t="s">
        <v>16</v>
      </c>
      <c r="E160" s="1" t="s">
        <v>19</v>
      </c>
      <c r="F160" s="1" t="s">
        <v>15</v>
      </c>
    </row>
    <row r="161" spans="1:6">
      <c r="A161">
        <v>1160</v>
      </c>
      <c r="B161" s="1" t="s">
        <v>10</v>
      </c>
      <c r="C161">
        <v>52</v>
      </c>
      <c r="D161" s="1" t="s">
        <v>16</v>
      </c>
      <c r="E161" s="1" t="s">
        <v>8</v>
      </c>
      <c r="F161" s="1" t="s">
        <v>15</v>
      </c>
    </row>
    <row r="162" spans="1:6">
      <c r="A162">
        <v>1161</v>
      </c>
      <c r="B162" s="1" t="s">
        <v>6</v>
      </c>
      <c r="C162">
        <v>55</v>
      </c>
      <c r="D162" s="1" t="s">
        <v>11</v>
      </c>
      <c r="E162" s="1" t="s">
        <v>12</v>
      </c>
      <c r="F162" s="1" t="s">
        <v>17</v>
      </c>
    </row>
    <row r="163" spans="1:6">
      <c r="A163">
        <v>1162</v>
      </c>
      <c r="B163" s="1" t="s">
        <v>10</v>
      </c>
      <c r="C163">
        <v>30</v>
      </c>
      <c r="D163" s="1" t="s">
        <v>18</v>
      </c>
      <c r="E163" s="1" t="s">
        <v>8</v>
      </c>
      <c r="F163" s="1" t="s">
        <v>15</v>
      </c>
    </row>
    <row r="164" spans="1:6">
      <c r="A164">
        <v>1163</v>
      </c>
      <c r="B164" s="1" t="s">
        <v>10</v>
      </c>
      <c r="C164">
        <v>64</v>
      </c>
      <c r="D164" s="1" t="s">
        <v>11</v>
      </c>
      <c r="E164" s="1" t="s">
        <v>8</v>
      </c>
      <c r="F164" s="1" t="s">
        <v>9</v>
      </c>
    </row>
    <row r="165" spans="1:6">
      <c r="A165">
        <v>1164</v>
      </c>
      <c r="B165" s="1" t="s">
        <v>10</v>
      </c>
      <c r="C165">
        <v>42</v>
      </c>
      <c r="D165" s="1" t="s">
        <v>11</v>
      </c>
      <c r="E165" s="1" t="s">
        <v>12</v>
      </c>
      <c r="F165" s="1" t="s">
        <v>9</v>
      </c>
    </row>
    <row r="166" spans="1:6">
      <c r="A166">
        <v>1165</v>
      </c>
      <c r="B166" s="1" t="s">
        <v>6</v>
      </c>
      <c r="C166">
        <v>26</v>
      </c>
      <c r="D166" s="1" t="s">
        <v>16</v>
      </c>
      <c r="E166" s="1" t="s">
        <v>12</v>
      </c>
      <c r="F166" s="1" t="s">
        <v>15</v>
      </c>
    </row>
    <row r="167" spans="1:6">
      <c r="A167">
        <v>1166</v>
      </c>
      <c r="B167" s="1" t="s">
        <v>10</v>
      </c>
      <c r="C167">
        <v>21</v>
      </c>
      <c r="D167" s="1" t="s">
        <v>13</v>
      </c>
      <c r="E167" s="1" t="s">
        <v>8</v>
      </c>
      <c r="F167" s="1" t="s">
        <v>15</v>
      </c>
    </row>
    <row r="168" spans="1:6">
      <c r="A168">
        <v>1167</v>
      </c>
      <c r="B168" s="1" t="s">
        <v>6</v>
      </c>
      <c r="C168">
        <v>31</v>
      </c>
      <c r="D168" s="1" t="s">
        <v>18</v>
      </c>
      <c r="E168" s="1" t="s">
        <v>8</v>
      </c>
      <c r="F168" s="1" t="s">
        <v>17</v>
      </c>
    </row>
    <row r="169" spans="1:6">
      <c r="A169">
        <v>1168</v>
      </c>
      <c r="B169" s="1" t="s">
        <v>6</v>
      </c>
      <c r="C169">
        <v>54</v>
      </c>
      <c r="D169" s="1" t="s">
        <v>16</v>
      </c>
      <c r="E169" s="1" t="s">
        <v>8</v>
      </c>
      <c r="F169" s="1" t="s">
        <v>9</v>
      </c>
    </row>
    <row r="170" spans="1:6">
      <c r="A170">
        <v>1169</v>
      </c>
      <c r="B170" s="1" t="s">
        <v>6</v>
      </c>
      <c r="C170">
        <v>51</v>
      </c>
      <c r="D170" s="1" t="s">
        <v>13</v>
      </c>
      <c r="E170" s="1" t="s">
        <v>8</v>
      </c>
      <c r="F170" s="1" t="s">
        <v>15</v>
      </c>
    </row>
    <row r="171" spans="1:6">
      <c r="A171">
        <v>1170</v>
      </c>
      <c r="B171" s="1" t="s">
        <v>10</v>
      </c>
      <c r="C171">
        <v>28</v>
      </c>
      <c r="D171" s="1" t="s">
        <v>11</v>
      </c>
      <c r="E171" s="1" t="s">
        <v>12</v>
      </c>
      <c r="F171" s="1" t="s">
        <v>17</v>
      </c>
    </row>
    <row r="172" spans="1:6">
      <c r="A172">
        <v>1171</v>
      </c>
      <c r="B172" s="1" t="s">
        <v>10</v>
      </c>
      <c r="C172">
        <v>58</v>
      </c>
      <c r="D172" s="1" t="s">
        <v>11</v>
      </c>
      <c r="E172" s="1" t="s">
        <v>8</v>
      </c>
      <c r="F172" s="1" t="s">
        <v>17</v>
      </c>
    </row>
    <row r="173" spans="1:6">
      <c r="A173">
        <v>1172</v>
      </c>
      <c r="B173" s="1" t="s">
        <v>6</v>
      </c>
      <c r="C173">
        <v>20</v>
      </c>
      <c r="D173" s="1" t="s">
        <v>18</v>
      </c>
      <c r="E173" s="1" t="s">
        <v>8</v>
      </c>
      <c r="F173" s="1" t="s">
        <v>15</v>
      </c>
    </row>
    <row r="174" spans="1:6">
      <c r="A174">
        <v>1173</v>
      </c>
      <c r="B174" s="1" t="s">
        <v>6</v>
      </c>
      <c r="C174">
        <v>45</v>
      </c>
      <c r="D174" s="1" t="s">
        <v>7</v>
      </c>
      <c r="E174" s="1" t="s">
        <v>8</v>
      </c>
      <c r="F174" s="1" t="s">
        <v>15</v>
      </c>
    </row>
    <row r="175" spans="1:6">
      <c r="A175">
        <v>1174</v>
      </c>
      <c r="B175" s="1" t="s">
        <v>6</v>
      </c>
      <c r="C175">
        <v>46</v>
      </c>
      <c r="D175" s="1" t="s">
        <v>18</v>
      </c>
      <c r="E175" s="1" t="s">
        <v>19</v>
      </c>
      <c r="F175" s="1" t="s">
        <v>15</v>
      </c>
    </row>
    <row r="176" spans="1:6">
      <c r="A176">
        <v>1175</v>
      </c>
      <c r="B176" s="1" t="s">
        <v>10</v>
      </c>
      <c r="C176">
        <v>26</v>
      </c>
      <c r="D176" s="1" t="s">
        <v>16</v>
      </c>
      <c r="E176" s="1" t="s">
        <v>19</v>
      </c>
      <c r="F176" s="1" t="s">
        <v>20</v>
      </c>
    </row>
    <row r="177" spans="1:6">
      <c r="A177">
        <v>1176</v>
      </c>
      <c r="B177" s="1" t="s">
        <v>6</v>
      </c>
      <c r="C177">
        <v>20</v>
      </c>
      <c r="D177" s="1" t="s">
        <v>16</v>
      </c>
      <c r="E177" s="1" t="s">
        <v>8</v>
      </c>
      <c r="F177" s="1" t="s">
        <v>9</v>
      </c>
    </row>
    <row r="178" spans="1:6">
      <c r="A178">
        <v>1177</v>
      </c>
      <c r="B178" s="1" t="s">
        <v>10</v>
      </c>
      <c r="C178">
        <v>42</v>
      </c>
      <c r="D178" s="1" t="s">
        <v>13</v>
      </c>
      <c r="E178" s="1" t="s">
        <v>12</v>
      </c>
      <c r="F178" s="1" t="s">
        <v>20</v>
      </c>
    </row>
    <row r="179" spans="1:6">
      <c r="A179">
        <v>1178</v>
      </c>
      <c r="B179" s="1" t="s">
        <v>6</v>
      </c>
      <c r="C179">
        <v>51</v>
      </c>
      <c r="D179" s="1" t="s">
        <v>16</v>
      </c>
      <c r="E179" s="1" t="s">
        <v>8</v>
      </c>
      <c r="F179" s="1" t="s">
        <v>14</v>
      </c>
    </row>
    <row r="180" spans="1:6">
      <c r="A180">
        <v>1179</v>
      </c>
      <c r="B180" s="1" t="s">
        <v>10</v>
      </c>
      <c r="C180">
        <v>29</v>
      </c>
      <c r="D180" s="1" t="s">
        <v>16</v>
      </c>
      <c r="E180" s="1" t="s">
        <v>8</v>
      </c>
      <c r="F180" s="1" t="s">
        <v>15</v>
      </c>
    </row>
    <row r="181" spans="1:6">
      <c r="A181">
        <v>1180</v>
      </c>
      <c r="B181" s="1" t="s">
        <v>6</v>
      </c>
      <c r="C181">
        <v>59</v>
      </c>
      <c r="D181" s="1" t="s">
        <v>11</v>
      </c>
      <c r="E181" s="1" t="s">
        <v>12</v>
      </c>
      <c r="F181" s="1" t="s">
        <v>9</v>
      </c>
    </row>
    <row r="182" spans="1:6">
      <c r="A182">
        <v>1181</v>
      </c>
      <c r="B182" s="1" t="s">
        <v>6</v>
      </c>
      <c r="C182">
        <v>26</v>
      </c>
      <c r="D182" s="1" t="s">
        <v>11</v>
      </c>
      <c r="E182" s="1" t="s">
        <v>19</v>
      </c>
      <c r="F182" s="1" t="s">
        <v>15</v>
      </c>
    </row>
    <row r="183" spans="1:6">
      <c r="A183">
        <v>1182</v>
      </c>
      <c r="B183" s="1" t="s">
        <v>6</v>
      </c>
      <c r="C183">
        <v>32</v>
      </c>
      <c r="D183" s="1" t="s">
        <v>11</v>
      </c>
      <c r="E183" s="1" t="s">
        <v>19</v>
      </c>
      <c r="F183" s="1" t="s">
        <v>15</v>
      </c>
    </row>
    <row r="184" spans="1:6">
      <c r="A184">
        <v>1183</v>
      </c>
      <c r="B184" s="1" t="s">
        <v>10</v>
      </c>
      <c r="C184">
        <v>57</v>
      </c>
      <c r="D184" s="1" t="s">
        <v>13</v>
      </c>
      <c r="E184" s="1" t="s">
        <v>12</v>
      </c>
      <c r="F184" s="1" t="s">
        <v>9</v>
      </c>
    </row>
    <row r="185" spans="1:6">
      <c r="A185">
        <v>1184</v>
      </c>
      <c r="B185" s="1" t="s">
        <v>10</v>
      </c>
      <c r="C185">
        <v>42</v>
      </c>
      <c r="D185" s="1" t="s">
        <v>16</v>
      </c>
      <c r="E185" s="1" t="s">
        <v>8</v>
      </c>
      <c r="F185" s="1" t="s">
        <v>14</v>
      </c>
    </row>
    <row r="186" spans="1:6">
      <c r="A186">
        <v>1185</v>
      </c>
      <c r="B186" s="1" t="s">
        <v>6</v>
      </c>
      <c r="C186">
        <v>22</v>
      </c>
      <c r="D186" s="1" t="s">
        <v>16</v>
      </c>
      <c r="E186" s="1" t="s">
        <v>12</v>
      </c>
      <c r="F186" s="1" t="s">
        <v>20</v>
      </c>
    </row>
    <row r="187" spans="1:6">
      <c r="A187">
        <v>1186</v>
      </c>
      <c r="B187" s="1" t="s">
        <v>10</v>
      </c>
      <c r="C187">
        <v>28</v>
      </c>
      <c r="D187" s="1" t="s">
        <v>16</v>
      </c>
      <c r="E187" s="1" t="s">
        <v>8</v>
      </c>
      <c r="F187" s="1" t="s">
        <v>14</v>
      </c>
    </row>
    <row r="188" spans="1:6">
      <c r="A188">
        <v>1187</v>
      </c>
      <c r="B188" s="1" t="s">
        <v>10</v>
      </c>
      <c r="C188">
        <v>51</v>
      </c>
      <c r="D188" s="1" t="s">
        <v>7</v>
      </c>
      <c r="E188" s="1" t="s">
        <v>12</v>
      </c>
      <c r="F188" s="1" t="s">
        <v>14</v>
      </c>
    </row>
    <row r="189" spans="1:6">
      <c r="A189">
        <v>1188</v>
      </c>
      <c r="B189" s="1" t="s">
        <v>10</v>
      </c>
      <c r="C189">
        <v>41</v>
      </c>
      <c r="D189" s="1" t="s">
        <v>11</v>
      </c>
      <c r="E189" s="1" t="s">
        <v>8</v>
      </c>
      <c r="F189" s="1" t="s">
        <v>9</v>
      </c>
    </row>
    <row r="190" spans="1:6">
      <c r="A190">
        <v>1189</v>
      </c>
      <c r="B190" s="1" t="s">
        <v>10</v>
      </c>
      <c r="C190">
        <v>32</v>
      </c>
      <c r="D190" s="1" t="s">
        <v>16</v>
      </c>
      <c r="E190" s="1" t="s">
        <v>12</v>
      </c>
      <c r="F190" s="1" t="s">
        <v>15</v>
      </c>
    </row>
    <row r="191" spans="1:6">
      <c r="A191">
        <v>1190</v>
      </c>
      <c r="B191" s="1" t="s">
        <v>6</v>
      </c>
      <c r="C191">
        <v>55</v>
      </c>
      <c r="D191" s="1" t="s">
        <v>7</v>
      </c>
      <c r="E191" s="1" t="s">
        <v>8</v>
      </c>
      <c r="F191" s="1" t="s">
        <v>9</v>
      </c>
    </row>
    <row r="192" spans="1:6">
      <c r="A192">
        <v>1191</v>
      </c>
      <c r="B192" s="1" t="s">
        <v>6</v>
      </c>
      <c r="C192">
        <v>25</v>
      </c>
      <c r="D192" s="1" t="s">
        <v>7</v>
      </c>
      <c r="E192" s="1" t="s">
        <v>8</v>
      </c>
      <c r="F192" s="1" t="s">
        <v>14</v>
      </c>
    </row>
    <row r="193" spans="1:6">
      <c r="A193">
        <v>1192</v>
      </c>
      <c r="B193" s="1" t="s">
        <v>10</v>
      </c>
      <c r="C193">
        <v>22</v>
      </c>
      <c r="D193" s="1" t="s">
        <v>7</v>
      </c>
      <c r="E193" s="1" t="s">
        <v>19</v>
      </c>
      <c r="F193" s="1" t="s">
        <v>20</v>
      </c>
    </row>
    <row r="194" spans="1:6">
      <c r="A194">
        <v>1193</v>
      </c>
      <c r="B194" s="1" t="s">
        <v>10</v>
      </c>
      <c r="C194">
        <v>43</v>
      </c>
      <c r="D194" s="1" t="s">
        <v>7</v>
      </c>
      <c r="E194" s="1" t="s">
        <v>8</v>
      </c>
      <c r="F194" s="1" t="s">
        <v>14</v>
      </c>
    </row>
    <row r="195" spans="1:6">
      <c r="A195">
        <v>1194</v>
      </c>
      <c r="B195" s="1" t="s">
        <v>10</v>
      </c>
      <c r="C195">
        <v>35</v>
      </c>
      <c r="D195" s="1" t="s">
        <v>16</v>
      </c>
      <c r="E195" s="1" t="s">
        <v>12</v>
      </c>
      <c r="F195" s="1" t="s">
        <v>9</v>
      </c>
    </row>
    <row r="196" spans="1:6">
      <c r="A196">
        <v>1195</v>
      </c>
      <c r="B196" s="1" t="s">
        <v>6</v>
      </c>
      <c r="C196">
        <v>23</v>
      </c>
      <c r="D196" s="1" t="s">
        <v>18</v>
      </c>
      <c r="E196" s="1" t="s">
        <v>8</v>
      </c>
      <c r="F196" s="1" t="s">
        <v>15</v>
      </c>
    </row>
    <row r="197" spans="1:6">
      <c r="A197">
        <v>1196</v>
      </c>
      <c r="B197" s="1" t="s">
        <v>6</v>
      </c>
      <c r="C197">
        <v>54</v>
      </c>
      <c r="D197" s="1" t="s">
        <v>11</v>
      </c>
      <c r="E197" s="1" t="s">
        <v>8</v>
      </c>
      <c r="F197" s="1" t="s">
        <v>14</v>
      </c>
    </row>
    <row r="198" spans="1:6">
      <c r="A198">
        <v>1197</v>
      </c>
      <c r="B198" s="1" t="s">
        <v>10</v>
      </c>
      <c r="C198">
        <v>30</v>
      </c>
      <c r="D198" s="1" t="s">
        <v>7</v>
      </c>
      <c r="E198" s="1" t="s">
        <v>8</v>
      </c>
      <c r="F198" s="1" t="s">
        <v>15</v>
      </c>
    </row>
    <row r="199" spans="1:6">
      <c r="A199">
        <v>1198</v>
      </c>
      <c r="B199" s="1" t="s">
        <v>10</v>
      </c>
      <c r="C199">
        <v>45</v>
      </c>
      <c r="D199" s="1" t="s">
        <v>18</v>
      </c>
      <c r="E199" s="1" t="s">
        <v>8</v>
      </c>
      <c r="F199" s="1" t="s">
        <v>17</v>
      </c>
    </row>
    <row r="200" spans="1:6">
      <c r="A200">
        <v>1199</v>
      </c>
      <c r="B200" s="1" t="s">
        <v>10</v>
      </c>
      <c r="C200">
        <v>22</v>
      </c>
      <c r="D200" s="1" t="s">
        <v>18</v>
      </c>
      <c r="E200" s="1" t="s">
        <v>19</v>
      </c>
      <c r="F200" s="1" t="s">
        <v>17</v>
      </c>
    </row>
    <row r="201" spans="1:6">
      <c r="A201">
        <v>1200</v>
      </c>
      <c r="B201" s="1" t="s">
        <v>10</v>
      </c>
      <c r="C201">
        <v>30</v>
      </c>
      <c r="D201" s="1" t="s">
        <v>18</v>
      </c>
      <c r="E201" s="1" t="s">
        <v>8</v>
      </c>
      <c r="F201" s="1" t="s">
        <v>14</v>
      </c>
    </row>
    <row r="202" spans="1:6">
      <c r="A202">
        <v>1201</v>
      </c>
      <c r="B202" s="1" t="s">
        <v>10</v>
      </c>
      <c r="C202">
        <v>34</v>
      </c>
      <c r="D202" s="1" t="s">
        <v>16</v>
      </c>
      <c r="E202" s="1" t="s">
        <v>19</v>
      </c>
      <c r="F202" s="1" t="s">
        <v>15</v>
      </c>
    </row>
    <row r="203" spans="1:6">
      <c r="A203">
        <v>1202</v>
      </c>
      <c r="B203" s="1" t="s">
        <v>6</v>
      </c>
      <c r="C203">
        <v>57</v>
      </c>
      <c r="D203" s="1" t="s">
        <v>11</v>
      </c>
      <c r="E203" s="1" t="s">
        <v>12</v>
      </c>
      <c r="F203" s="1" t="s">
        <v>9</v>
      </c>
    </row>
    <row r="204" spans="1:6">
      <c r="A204">
        <v>1203</v>
      </c>
      <c r="B204" s="1" t="s">
        <v>6</v>
      </c>
      <c r="C204">
        <v>62</v>
      </c>
      <c r="D204" s="1" t="s">
        <v>13</v>
      </c>
      <c r="E204" s="1" t="s">
        <v>8</v>
      </c>
      <c r="F204" s="1" t="s">
        <v>9</v>
      </c>
    </row>
    <row r="205" spans="1:6">
      <c r="A205">
        <v>1204</v>
      </c>
      <c r="B205" s="1" t="s">
        <v>10</v>
      </c>
      <c r="C205">
        <v>49</v>
      </c>
      <c r="D205" s="1" t="s">
        <v>13</v>
      </c>
      <c r="E205" s="1" t="s">
        <v>12</v>
      </c>
      <c r="F205" s="1" t="s">
        <v>15</v>
      </c>
    </row>
    <row r="206" spans="1:6">
      <c r="A206">
        <v>1205</v>
      </c>
      <c r="B206" s="1" t="s">
        <v>10</v>
      </c>
      <c r="C206">
        <v>46</v>
      </c>
      <c r="D206" s="1" t="s">
        <v>16</v>
      </c>
      <c r="E206" s="1" t="s">
        <v>12</v>
      </c>
      <c r="F206" s="1" t="s">
        <v>15</v>
      </c>
    </row>
    <row r="207" spans="1:6">
      <c r="A207">
        <v>1206</v>
      </c>
      <c r="B207" s="1" t="s">
        <v>6</v>
      </c>
      <c r="C207">
        <v>20</v>
      </c>
      <c r="D207" s="1" t="s">
        <v>16</v>
      </c>
      <c r="E207" s="1" t="s">
        <v>12</v>
      </c>
      <c r="F207" s="1" t="s">
        <v>14</v>
      </c>
    </row>
    <row r="208" spans="1:6">
      <c r="A208">
        <v>1207</v>
      </c>
      <c r="B208" s="1" t="s">
        <v>6</v>
      </c>
      <c r="C208">
        <v>57</v>
      </c>
      <c r="D208" s="1" t="s">
        <v>16</v>
      </c>
      <c r="E208" s="1" t="s">
        <v>8</v>
      </c>
      <c r="F208" s="1" t="s">
        <v>14</v>
      </c>
    </row>
    <row r="209" spans="1:6">
      <c r="A209">
        <v>1208</v>
      </c>
      <c r="B209" s="1" t="s">
        <v>10</v>
      </c>
      <c r="C209">
        <v>51</v>
      </c>
      <c r="D209" s="1" t="s">
        <v>18</v>
      </c>
      <c r="E209" s="1" t="s">
        <v>8</v>
      </c>
      <c r="F209" s="1" t="s">
        <v>9</v>
      </c>
    </row>
    <row r="210" spans="1:6">
      <c r="A210">
        <v>1209</v>
      </c>
      <c r="B210" s="1" t="s">
        <v>6</v>
      </c>
      <c r="C210">
        <v>57</v>
      </c>
      <c r="D210" s="1" t="s">
        <v>7</v>
      </c>
      <c r="E210" s="1" t="s">
        <v>19</v>
      </c>
      <c r="F210" s="1" t="s">
        <v>15</v>
      </c>
    </row>
    <row r="211" spans="1:6">
      <c r="A211">
        <v>1210</v>
      </c>
      <c r="B211" s="1" t="s">
        <v>6</v>
      </c>
      <c r="C211">
        <v>44</v>
      </c>
      <c r="D211" s="1" t="s">
        <v>16</v>
      </c>
      <c r="E211" s="1" t="s">
        <v>19</v>
      </c>
      <c r="F211" s="1" t="s">
        <v>9</v>
      </c>
    </row>
    <row r="212" spans="1:6">
      <c r="A212">
        <v>1211</v>
      </c>
      <c r="B212" s="1" t="s">
        <v>10</v>
      </c>
      <c r="C212">
        <v>30</v>
      </c>
      <c r="D212" s="1" t="s">
        <v>11</v>
      </c>
      <c r="E212" s="1" t="s">
        <v>19</v>
      </c>
      <c r="F212" s="1" t="s">
        <v>9</v>
      </c>
    </row>
    <row r="213" spans="1:6">
      <c r="A213">
        <v>1212</v>
      </c>
      <c r="B213" s="1" t="s">
        <v>10</v>
      </c>
      <c r="C213">
        <v>62</v>
      </c>
      <c r="D213" s="1" t="s">
        <v>7</v>
      </c>
      <c r="E213" s="1" t="s">
        <v>8</v>
      </c>
      <c r="F213" s="1" t="s">
        <v>17</v>
      </c>
    </row>
    <row r="214" spans="1:6">
      <c r="A214">
        <v>1213</v>
      </c>
      <c r="B214" s="1" t="s">
        <v>10</v>
      </c>
      <c r="C214">
        <v>50</v>
      </c>
      <c r="D214" s="1" t="s">
        <v>18</v>
      </c>
      <c r="E214" s="1" t="s">
        <v>12</v>
      </c>
      <c r="F214" s="1" t="s">
        <v>9</v>
      </c>
    </row>
    <row r="215" spans="1:6">
      <c r="A215">
        <v>1214</v>
      </c>
      <c r="B215" s="1" t="s">
        <v>6</v>
      </c>
      <c r="C215">
        <v>23</v>
      </c>
      <c r="D215" s="1" t="s">
        <v>11</v>
      </c>
      <c r="E215" s="1" t="s">
        <v>8</v>
      </c>
      <c r="F215" s="1" t="s">
        <v>15</v>
      </c>
    </row>
    <row r="216" spans="1:6">
      <c r="A216">
        <v>1215</v>
      </c>
      <c r="B216" s="1" t="s">
        <v>10</v>
      </c>
      <c r="C216">
        <v>41</v>
      </c>
      <c r="D216" s="1" t="s">
        <v>11</v>
      </c>
      <c r="E216" s="1" t="s">
        <v>8</v>
      </c>
      <c r="F216" s="1" t="s">
        <v>9</v>
      </c>
    </row>
    <row r="217" spans="1:6">
      <c r="A217">
        <v>1216</v>
      </c>
      <c r="B217" s="1" t="s">
        <v>6</v>
      </c>
      <c r="C217">
        <v>36</v>
      </c>
      <c r="D217" s="1" t="s">
        <v>11</v>
      </c>
      <c r="E217" s="1" t="s">
        <v>8</v>
      </c>
      <c r="F217" s="1" t="s">
        <v>17</v>
      </c>
    </row>
    <row r="218" spans="1:6">
      <c r="A218">
        <v>1217</v>
      </c>
      <c r="B218" s="1" t="s">
        <v>6</v>
      </c>
      <c r="C218">
        <v>33</v>
      </c>
      <c r="D218" s="1" t="s">
        <v>16</v>
      </c>
      <c r="E218" s="1" t="s">
        <v>12</v>
      </c>
      <c r="F218" s="1" t="s">
        <v>14</v>
      </c>
    </row>
    <row r="219" spans="1:6">
      <c r="A219">
        <v>1218</v>
      </c>
      <c r="B219" s="1" t="s">
        <v>10</v>
      </c>
      <c r="C219">
        <v>57</v>
      </c>
      <c r="D219" s="1" t="s">
        <v>11</v>
      </c>
      <c r="E219" s="1" t="s">
        <v>8</v>
      </c>
      <c r="F219" s="1" t="s">
        <v>9</v>
      </c>
    </row>
    <row r="220" spans="1:6">
      <c r="A220">
        <v>1219</v>
      </c>
      <c r="B220" s="1" t="s">
        <v>10</v>
      </c>
      <c r="C220">
        <v>45</v>
      </c>
      <c r="D220" s="1" t="s">
        <v>18</v>
      </c>
      <c r="E220" s="1" t="s">
        <v>8</v>
      </c>
      <c r="F220" s="1" t="s">
        <v>15</v>
      </c>
    </row>
    <row r="221" spans="1:6">
      <c r="A221">
        <v>1220</v>
      </c>
      <c r="B221" s="1" t="s">
        <v>10</v>
      </c>
      <c r="C221">
        <v>50</v>
      </c>
      <c r="D221" s="1" t="s">
        <v>7</v>
      </c>
      <c r="E221" s="1" t="s">
        <v>19</v>
      </c>
      <c r="F221" s="1" t="s">
        <v>14</v>
      </c>
    </row>
    <row r="222" spans="1:6">
      <c r="A222">
        <v>1221</v>
      </c>
      <c r="B222" s="1" t="s">
        <v>10</v>
      </c>
      <c r="C222">
        <v>58</v>
      </c>
      <c r="D222" s="1" t="s">
        <v>11</v>
      </c>
      <c r="E222" s="1" t="s">
        <v>8</v>
      </c>
      <c r="F222" s="1" t="s">
        <v>20</v>
      </c>
    </row>
    <row r="223" spans="1:6">
      <c r="A223">
        <v>1222</v>
      </c>
      <c r="B223" s="1" t="s">
        <v>10</v>
      </c>
      <c r="C223">
        <v>30</v>
      </c>
      <c r="D223" s="1" t="s">
        <v>18</v>
      </c>
      <c r="E223" s="1" t="s">
        <v>8</v>
      </c>
      <c r="F223" s="1" t="s">
        <v>9</v>
      </c>
    </row>
    <row r="224" spans="1:6">
      <c r="A224">
        <v>1223</v>
      </c>
      <c r="B224" s="1" t="s">
        <v>6</v>
      </c>
      <c r="C224">
        <v>60</v>
      </c>
      <c r="D224" s="1" t="s">
        <v>16</v>
      </c>
      <c r="E224" s="1" t="s">
        <v>8</v>
      </c>
      <c r="F224" s="1" t="s">
        <v>17</v>
      </c>
    </row>
    <row r="225" spans="1:6">
      <c r="A225">
        <v>1224</v>
      </c>
      <c r="B225" s="1" t="s">
        <v>6</v>
      </c>
      <c r="C225">
        <v>62</v>
      </c>
      <c r="D225" s="1" t="s">
        <v>11</v>
      </c>
      <c r="E225" s="1" t="s">
        <v>19</v>
      </c>
      <c r="F225" s="1" t="s">
        <v>20</v>
      </c>
    </row>
    <row r="226" spans="1:6">
      <c r="A226">
        <v>1225</v>
      </c>
      <c r="B226" s="1" t="s">
        <v>6</v>
      </c>
      <c r="C226">
        <v>42</v>
      </c>
      <c r="D226" s="1" t="s">
        <v>16</v>
      </c>
      <c r="E226" s="1" t="s">
        <v>12</v>
      </c>
      <c r="F226" s="1" t="s">
        <v>20</v>
      </c>
    </row>
    <row r="227" spans="1:6">
      <c r="A227">
        <v>1226</v>
      </c>
      <c r="B227" s="1" t="s">
        <v>6</v>
      </c>
      <c r="C227">
        <v>59</v>
      </c>
      <c r="D227" s="1" t="s">
        <v>16</v>
      </c>
      <c r="E227" s="1" t="s">
        <v>8</v>
      </c>
      <c r="F227" s="1" t="s">
        <v>14</v>
      </c>
    </row>
    <row r="228" spans="1:6">
      <c r="A228">
        <v>1227</v>
      </c>
      <c r="B228" s="1" t="s">
        <v>10</v>
      </c>
      <c r="C228">
        <v>53</v>
      </c>
      <c r="D228" s="1" t="s">
        <v>18</v>
      </c>
      <c r="E228" s="1" t="s">
        <v>12</v>
      </c>
      <c r="F228" s="1" t="s">
        <v>14</v>
      </c>
    </row>
    <row r="229" spans="1:6">
      <c r="A229">
        <v>1228</v>
      </c>
      <c r="B229" s="1" t="s">
        <v>6</v>
      </c>
      <c r="C229">
        <v>44</v>
      </c>
      <c r="D229" s="1" t="s">
        <v>13</v>
      </c>
      <c r="E229" s="1" t="s">
        <v>12</v>
      </c>
      <c r="F229" s="1" t="s">
        <v>15</v>
      </c>
    </row>
    <row r="230" spans="1:6">
      <c r="A230">
        <v>1229</v>
      </c>
      <c r="B230" s="1" t="s">
        <v>10</v>
      </c>
      <c r="C230">
        <v>55</v>
      </c>
      <c r="D230" s="1" t="s">
        <v>16</v>
      </c>
      <c r="E230" s="1" t="s">
        <v>8</v>
      </c>
      <c r="F230" s="1" t="s">
        <v>17</v>
      </c>
    </row>
    <row r="231" spans="1:6">
      <c r="A231">
        <v>1230</v>
      </c>
      <c r="B231" s="1" t="s">
        <v>10</v>
      </c>
      <c r="C231">
        <v>24</v>
      </c>
      <c r="D231" s="1" t="s">
        <v>11</v>
      </c>
      <c r="E231" s="1" t="s">
        <v>12</v>
      </c>
      <c r="F231" s="1" t="s">
        <v>15</v>
      </c>
    </row>
    <row r="232" spans="1:6">
      <c r="A232">
        <v>1231</v>
      </c>
      <c r="B232" s="1" t="s">
        <v>10</v>
      </c>
      <c r="C232">
        <v>22</v>
      </c>
      <c r="D232" s="1" t="s">
        <v>7</v>
      </c>
      <c r="E232" s="1" t="s">
        <v>12</v>
      </c>
      <c r="F232" s="1" t="s">
        <v>14</v>
      </c>
    </row>
    <row r="233" spans="1:6">
      <c r="A233">
        <v>1232</v>
      </c>
      <c r="B233" s="1" t="s">
        <v>6</v>
      </c>
      <c r="C233">
        <v>60</v>
      </c>
      <c r="D233" s="1" t="s">
        <v>16</v>
      </c>
      <c r="E233" s="1" t="s">
        <v>12</v>
      </c>
      <c r="F233" s="1" t="s">
        <v>15</v>
      </c>
    </row>
    <row r="234" spans="1:6">
      <c r="A234">
        <v>1233</v>
      </c>
      <c r="B234" s="1" t="s">
        <v>10</v>
      </c>
      <c r="C234">
        <v>62</v>
      </c>
      <c r="D234" s="1" t="s">
        <v>11</v>
      </c>
      <c r="E234" s="1" t="s">
        <v>8</v>
      </c>
      <c r="F234" s="1" t="s">
        <v>14</v>
      </c>
    </row>
    <row r="235" spans="1:6">
      <c r="A235">
        <v>1234</v>
      </c>
      <c r="B235" s="1" t="s">
        <v>6</v>
      </c>
      <c r="C235">
        <v>48</v>
      </c>
      <c r="D235" s="1" t="s">
        <v>18</v>
      </c>
      <c r="E235" s="1" t="s">
        <v>19</v>
      </c>
      <c r="F235" s="1" t="s">
        <v>17</v>
      </c>
    </row>
    <row r="236" spans="1:6">
      <c r="A236">
        <v>1235</v>
      </c>
      <c r="B236" s="1" t="s">
        <v>6</v>
      </c>
      <c r="C236">
        <v>40</v>
      </c>
      <c r="D236" s="1" t="s">
        <v>11</v>
      </c>
      <c r="E236" s="1" t="s">
        <v>12</v>
      </c>
      <c r="F236" s="1" t="s">
        <v>9</v>
      </c>
    </row>
    <row r="237" spans="1:6">
      <c r="A237">
        <v>1236</v>
      </c>
      <c r="B237" s="1" t="s">
        <v>10</v>
      </c>
      <c r="C237">
        <v>59</v>
      </c>
      <c r="D237" s="1" t="s">
        <v>16</v>
      </c>
      <c r="E237" s="1" t="s">
        <v>8</v>
      </c>
      <c r="F237" s="1" t="s">
        <v>17</v>
      </c>
    </row>
    <row r="238" spans="1:6">
      <c r="A238">
        <v>1237</v>
      </c>
      <c r="B238" s="1" t="s">
        <v>6</v>
      </c>
      <c r="C238">
        <v>27</v>
      </c>
      <c r="D238" s="1" t="s">
        <v>16</v>
      </c>
      <c r="E238" s="1" t="s">
        <v>8</v>
      </c>
      <c r="F238" s="1" t="s">
        <v>15</v>
      </c>
    </row>
    <row r="239" spans="1:6">
      <c r="A239">
        <v>1238</v>
      </c>
      <c r="B239" s="1" t="s">
        <v>6</v>
      </c>
      <c r="C239">
        <v>49</v>
      </c>
      <c r="D239" s="1" t="s">
        <v>18</v>
      </c>
      <c r="E239" s="1" t="s">
        <v>8</v>
      </c>
      <c r="F239" s="1" t="s">
        <v>17</v>
      </c>
    </row>
    <row r="240" spans="1:6">
      <c r="A240">
        <v>1239</v>
      </c>
      <c r="B240" s="1" t="s">
        <v>10</v>
      </c>
      <c r="C240">
        <v>60</v>
      </c>
      <c r="D240" s="1" t="s">
        <v>11</v>
      </c>
      <c r="E240" s="1" t="s">
        <v>8</v>
      </c>
      <c r="F240" s="1" t="s">
        <v>15</v>
      </c>
    </row>
    <row r="241" spans="1:6">
      <c r="A241">
        <v>1240</v>
      </c>
      <c r="B241" s="1" t="s">
        <v>6</v>
      </c>
      <c r="C241">
        <v>47</v>
      </c>
      <c r="D241" s="1" t="s">
        <v>16</v>
      </c>
      <c r="E241" s="1" t="s">
        <v>12</v>
      </c>
      <c r="F241" s="1" t="s">
        <v>15</v>
      </c>
    </row>
    <row r="242" spans="1:6">
      <c r="A242">
        <v>1241</v>
      </c>
      <c r="B242" s="1" t="s">
        <v>10</v>
      </c>
      <c r="C242">
        <v>56</v>
      </c>
      <c r="D242" s="1" t="s">
        <v>18</v>
      </c>
      <c r="E242" s="1" t="s">
        <v>8</v>
      </c>
      <c r="F242" s="1" t="s">
        <v>20</v>
      </c>
    </row>
    <row r="243" spans="1:6">
      <c r="A243">
        <v>1242</v>
      </c>
      <c r="B243" s="1" t="s">
        <v>10</v>
      </c>
      <c r="C243">
        <v>48</v>
      </c>
      <c r="D243" s="1" t="s">
        <v>16</v>
      </c>
      <c r="E243" s="1" t="s">
        <v>8</v>
      </c>
      <c r="F243" s="1" t="s">
        <v>9</v>
      </c>
    </row>
    <row r="244" spans="1:6">
      <c r="A244">
        <v>1243</v>
      </c>
      <c r="B244" s="1" t="s">
        <v>10</v>
      </c>
      <c r="C244">
        <v>35</v>
      </c>
      <c r="D244" s="1" t="s">
        <v>18</v>
      </c>
      <c r="E244" s="1" t="s">
        <v>12</v>
      </c>
      <c r="F244" s="1" t="s">
        <v>17</v>
      </c>
    </row>
    <row r="245" spans="1:6">
      <c r="A245">
        <v>1244</v>
      </c>
      <c r="B245" s="1" t="s">
        <v>6</v>
      </c>
      <c r="C245">
        <v>53</v>
      </c>
      <c r="D245" s="1" t="s">
        <v>16</v>
      </c>
      <c r="E245" s="1" t="s">
        <v>8</v>
      </c>
      <c r="F245" s="1" t="s">
        <v>15</v>
      </c>
    </row>
    <row r="246" spans="1:6">
      <c r="A246">
        <v>1245</v>
      </c>
      <c r="B246" s="1" t="s">
        <v>6</v>
      </c>
      <c r="C246">
        <v>19</v>
      </c>
      <c r="D246" s="1" t="s">
        <v>13</v>
      </c>
      <c r="E246" s="1" t="s">
        <v>19</v>
      </c>
      <c r="F246" s="1" t="s">
        <v>15</v>
      </c>
    </row>
    <row r="247" spans="1:6">
      <c r="A247">
        <v>1246</v>
      </c>
      <c r="B247" s="1" t="s">
        <v>10</v>
      </c>
      <c r="C247">
        <v>31</v>
      </c>
      <c r="D247" s="1" t="s">
        <v>16</v>
      </c>
      <c r="E247" s="1" t="s">
        <v>8</v>
      </c>
      <c r="F247" s="1" t="s">
        <v>15</v>
      </c>
    </row>
    <row r="248" spans="1:6">
      <c r="A248">
        <v>1247</v>
      </c>
      <c r="B248" s="1" t="s">
        <v>6</v>
      </c>
      <c r="C248">
        <v>30</v>
      </c>
      <c r="D248" s="1" t="s">
        <v>16</v>
      </c>
      <c r="E248" s="1" t="s">
        <v>8</v>
      </c>
      <c r="F248" s="1" t="s">
        <v>14</v>
      </c>
    </row>
    <row r="249" spans="1:6">
      <c r="A249">
        <v>1248</v>
      </c>
      <c r="B249" s="1" t="s">
        <v>10</v>
      </c>
      <c r="C249">
        <v>46</v>
      </c>
      <c r="D249" s="1" t="s">
        <v>16</v>
      </c>
      <c r="E249" s="1" t="s">
        <v>8</v>
      </c>
      <c r="F249" s="1" t="s">
        <v>15</v>
      </c>
    </row>
    <row r="250" spans="1:6">
      <c r="A250">
        <v>1249</v>
      </c>
      <c r="B250" s="1" t="s">
        <v>10</v>
      </c>
      <c r="C250">
        <v>29</v>
      </c>
      <c r="D250" s="1" t="s">
        <v>16</v>
      </c>
      <c r="E250" s="1" t="s">
        <v>8</v>
      </c>
      <c r="F250" s="1" t="s">
        <v>9</v>
      </c>
    </row>
    <row r="251" spans="1:6">
      <c r="A251">
        <v>1250</v>
      </c>
      <c r="B251" s="1" t="s">
        <v>10</v>
      </c>
      <c r="C251">
        <v>56</v>
      </c>
      <c r="D251" s="1" t="s">
        <v>7</v>
      </c>
      <c r="E251" s="1" t="s">
        <v>8</v>
      </c>
      <c r="F251" s="1" t="s">
        <v>9</v>
      </c>
    </row>
    <row r="252" spans="1:6">
      <c r="A252">
        <v>1251</v>
      </c>
      <c r="B252" s="1" t="s">
        <v>6</v>
      </c>
      <c r="C252">
        <v>19</v>
      </c>
      <c r="D252" s="1" t="s">
        <v>13</v>
      </c>
      <c r="E252" s="1" t="s">
        <v>12</v>
      </c>
      <c r="F252" s="1" t="s">
        <v>9</v>
      </c>
    </row>
    <row r="253" spans="1:6">
      <c r="A253">
        <v>1252</v>
      </c>
      <c r="B253" s="1" t="s">
        <v>6</v>
      </c>
      <c r="C253">
        <v>49</v>
      </c>
      <c r="D253" s="1" t="s">
        <v>16</v>
      </c>
      <c r="E253" s="1" t="s">
        <v>19</v>
      </c>
      <c r="F253" s="1" t="s">
        <v>20</v>
      </c>
    </row>
    <row r="254" spans="1:6">
      <c r="A254">
        <v>1253</v>
      </c>
      <c r="B254" s="1" t="s">
        <v>10</v>
      </c>
      <c r="C254">
        <v>30</v>
      </c>
      <c r="D254" s="1" t="s">
        <v>11</v>
      </c>
      <c r="E254" s="1" t="s">
        <v>8</v>
      </c>
      <c r="F254" s="1" t="s">
        <v>20</v>
      </c>
    </row>
    <row r="255" spans="1:6">
      <c r="A255">
        <v>1254</v>
      </c>
      <c r="B255" s="1" t="s">
        <v>6</v>
      </c>
      <c r="C255">
        <v>63</v>
      </c>
      <c r="D255" s="1" t="s">
        <v>18</v>
      </c>
      <c r="E255" s="1" t="s">
        <v>12</v>
      </c>
      <c r="F255" s="1" t="s">
        <v>15</v>
      </c>
    </row>
    <row r="256" spans="1:6">
      <c r="A256">
        <v>1255</v>
      </c>
      <c r="B256" s="1" t="s">
        <v>6</v>
      </c>
      <c r="C256">
        <v>44</v>
      </c>
      <c r="D256" s="1" t="s">
        <v>7</v>
      </c>
      <c r="E256" s="1" t="s">
        <v>12</v>
      </c>
      <c r="F256" s="1" t="s">
        <v>14</v>
      </c>
    </row>
    <row r="257" spans="1:6">
      <c r="A257">
        <v>1256</v>
      </c>
      <c r="B257" s="1" t="s">
        <v>10</v>
      </c>
      <c r="C257">
        <v>58</v>
      </c>
      <c r="D257" s="1" t="s">
        <v>11</v>
      </c>
      <c r="E257" s="1" t="s">
        <v>12</v>
      </c>
      <c r="F257" s="1" t="s">
        <v>15</v>
      </c>
    </row>
    <row r="258" spans="1:6">
      <c r="A258">
        <v>1257</v>
      </c>
      <c r="B258" s="1" t="s">
        <v>10</v>
      </c>
      <c r="C258">
        <v>34</v>
      </c>
      <c r="D258" s="1" t="s">
        <v>16</v>
      </c>
      <c r="E258" s="1" t="s">
        <v>8</v>
      </c>
      <c r="F258" s="1" t="s">
        <v>14</v>
      </c>
    </row>
    <row r="259" spans="1:6">
      <c r="A259">
        <v>1258</v>
      </c>
      <c r="B259" s="1" t="s">
        <v>10</v>
      </c>
      <c r="C259">
        <v>57</v>
      </c>
      <c r="D259" s="1" t="s">
        <v>11</v>
      </c>
      <c r="E259" s="1" t="s">
        <v>8</v>
      </c>
      <c r="F259" s="1" t="s">
        <v>17</v>
      </c>
    </row>
    <row r="260" spans="1:6">
      <c r="A260">
        <v>1259</v>
      </c>
      <c r="B260" s="1" t="s">
        <v>10</v>
      </c>
      <c r="C260">
        <v>48</v>
      </c>
      <c r="D260" s="1" t="s">
        <v>18</v>
      </c>
      <c r="E260" s="1" t="s">
        <v>8</v>
      </c>
      <c r="F260" s="1" t="s">
        <v>20</v>
      </c>
    </row>
    <row r="261" spans="1:6">
      <c r="A261">
        <v>1260</v>
      </c>
      <c r="B261" s="1" t="s">
        <v>6</v>
      </c>
      <c r="C261">
        <v>51</v>
      </c>
      <c r="D261" s="1" t="s">
        <v>16</v>
      </c>
      <c r="E261" s="1" t="s">
        <v>12</v>
      </c>
      <c r="F261" s="1" t="s">
        <v>15</v>
      </c>
    </row>
    <row r="262" spans="1:6">
      <c r="A262">
        <v>1261</v>
      </c>
      <c r="B262" s="1" t="s">
        <v>10</v>
      </c>
      <c r="C262">
        <v>41</v>
      </c>
      <c r="D262" s="1" t="s">
        <v>11</v>
      </c>
      <c r="E262" s="1" t="s">
        <v>12</v>
      </c>
      <c r="F262" s="1" t="s">
        <v>17</v>
      </c>
    </row>
    <row r="263" spans="1:6">
      <c r="A263">
        <v>1262</v>
      </c>
      <c r="B263" s="1" t="s">
        <v>10</v>
      </c>
      <c r="C263">
        <v>62</v>
      </c>
      <c r="D263" s="1" t="s">
        <v>16</v>
      </c>
      <c r="E263" s="1" t="s">
        <v>8</v>
      </c>
      <c r="F263" s="1" t="s">
        <v>9</v>
      </c>
    </row>
    <row r="264" spans="1:6">
      <c r="A264">
        <v>1263</v>
      </c>
      <c r="B264" s="1" t="s">
        <v>6</v>
      </c>
      <c r="C264">
        <v>52</v>
      </c>
      <c r="D264" s="1" t="s">
        <v>18</v>
      </c>
      <c r="E264" s="1" t="s">
        <v>8</v>
      </c>
      <c r="F264" s="1" t="s">
        <v>20</v>
      </c>
    </row>
    <row r="265" spans="1:6">
      <c r="A265">
        <v>1264</v>
      </c>
      <c r="B265" s="1" t="s">
        <v>6</v>
      </c>
      <c r="C265">
        <v>23</v>
      </c>
      <c r="D265" s="1" t="s">
        <v>16</v>
      </c>
      <c r="E265" s="1" t="s">
        <v>19</v>
      </c>
      <c r="F265" s="1" t="s">
        <v>9</v>
      </c>
    </row>
    <row r="266" spans="1:6">
      <c r="A266">
        <v>1265</v>
      </c>
      <c r="B266" s="1" t="s">
        <v>10</v>
      </c>
      <c r="C266">
        <v>36</v>
      </c>
      <c r="D266" s="1" t="s">
        <v>11</v>
      </c>
      <c r="E266" s="1" t="s">
        <v>12</v>
      </c>
      <c r="F266" s="1" t="s">
        <v>14</v>
      </c>
    </row>
    <row r="267" spans="1:6">
      <c r="A267">
        <v>1266</v>
      </c>
      <c r="B267" s="1" t="s">
        <v>10</v>
      </c>
      <c r="C267">
        <v>47</v>
      </c>
      <c r="D267" s="1" t="s">
        <v>11</v>
      </c>
      <c r="E267" s="1" t="s">
        <v>19</v>
      </c>
      <c r="F267" s="1" t="s">
        <v>14</v>
      </c>
    </row>
    <row r="268" spans="1:6">
      <c r="A268">
        <v>1267</v>
      </c>
      <c r="B268" s="1" t="s">
        <v>10</v>
      </c>
      <c r="C268">
        <v>24</v>
      </c>
      <c r="D268" s="1" t="s">
        <v>11</v>
      </c>
      <c r="E268" s="1" t="s">
        <v>12</v>
      </c>
      <c r="F268" s="1" t="s">
        <v>14</v>
      </c>
    </row>
    <row r="269" spans="1:6">
      <c r="A269">
        <v>1268</v>
      </c>
      <c r="B269" s="1" t="s">
        <v>10</v>
      </c>
      <c r="C269">
        <v>27</v>
      </c>
      <c r="D269" s="1" t="s">
        <v>16</v>
      </c>
      <c r="E269" s="1" t="s">
        <v>8</v>
      </c>
      <c r="F269" s="1" t="s">
        <v>9</v>
      </c>
    </row>
    <row r="270" spans="1:6">
      <c r="A270">
        <v>1269</v>
      </c>
      <c r="B270" s="1" t="s">
        <v>6</v>
      </c>
      <c r="C270">
        <v>58</v>
      </c>
      <c r="D270" s="1" t="s">
        <v>11</v>
      </c>
      <c r="E270" s="1" t="s">
        <v>12</v>
      </c>
      <c r="F270" s="1" t="s">
        <v>20</v>
      </c>
    </row>
    <row r="271" spans="1:6">
      <c r="A271">
        <v>1270</v>
      </c>
      <c r="B271" s="1" t="s">
        <v>6</v>
      </c>
      <c r="C271">
        <v>49</v>
      </c>
      <c r="D271" s="1" t="s">
        <v>11</v>
      </c>
      <c r="E271" s="1" t="s">
        <v>12</v>
      </c>
      <c r="F271" s="1" t="s">
        <v>9</v>
      </c>
    </row>
    <row r="272" spans="1:6">
      <c r="A272">
        <v>1271</v>
      </c>
      <c r="B272" s="1" t="s">
        <v>10</v>
      </c>
      <c r="C272">
        <v>51</v>
      </c>
      <c r="D272" s="1" t="s">
        <v>11</v>
      </c>
      <c r="E272" s="1" t="s">
        <v>8</v>
      </c>
      <c r="F272" s="1" t="s">
        <v>14</v>
      </c>
    </row>
    <row r="273" spans="1:6">
      <c r="A273">
        <v>1272</v>
      </c>
      <c r="B273" s="1" t="s">
        <v>10</v>
      </c>
      <c r="C273">
        <v>45</v>
      </c>
      <c r="D273" s="1" t="s">
        <v>11</v>
      </c>
      <c r="E273" s="1" t="s">
        <v>12</v>
      </c>
      <c r="F273" s="1" t="s">
        <v>9</v>
      </c>
    </row>
    <row r="274" spans="1:6">
      <c r="A274">
        <v>1273</v>
      </c>
      <c r="B274" s="1" t="s">
        <v>10</v>
      </c>
      <c r="C274">
        <v>32</v>
      </c>
      <c r="D274" s="1" t="s">
        <v>18</v>
      </c>
      <c r="E274" s="1" t="s">
        <v>12</v>
      </c>
      <c r="F274" s="1" t="s">
        <v>15</v>
      </c>
    </row>
    <row r="275" spans="1:6">
      <c r="A275">
        <v>1274</v>
      </c>
      <c r="B275" s="1" t="s">
        <v>10</v>
      </c>
      <c r="C275">
        <v>47</v>
      </c>
      <c r="D275" s="1" t="s">
        <v>7</v>
      </c>
      <c r="E275" s="1" t="s">
        <v>8</v>
      </c>
      <c r="F275" s="1" t="s">
        <v>15</v>
      </c>
    </row>
    <row r="276" spans="1:6">
      <c r="A276">
        <v>1275</v>
      </c>
      <c r="B276" s="1" t="s">
        <v>6</v>
      </c>
      <c r="C276">
        <v>54</v>
      </c>
      <c r="D276" s="1" t="s">
        <v>16</v>
      </c>
      <c r="E276" s="1" t="s">
        <v>12</v>
      </c>
      <c r="F276" s="1" t="s">
        <v>15</v>
      </c>
    </row>
    <row r="277" spans="1:6">
      <c r="A277">
        <v>1276</v>
      </c>
      <c r="B277" s="1" t="s">
        <v>6</v>
      </c>
      <c r="C277">
        <v>46</v>
      </c>
      <c r="D277" s="1" t="s">
        <v>7</v>
      </c>
      <c r="E277" s="1" t="s">
        <v>12</v>
      </c>
      <c r="F277" s="1" t="s">
        <v>9</v>
      </c>
    </row>
    <row r="278" spans="1:6">
      <c r="A278">
        <v>1277</v>
      </c>
      <c r="B278" s="1" t="s">
        <v>10</v>
      </c>
      <c r="C278">
        <v>39</v>
      </c>
      <c r="D278" s="1" t="s">
        <v>11</v>
      </c>
      <c r="E278" s="1" t="s">
        <v>19</v>
      </c>
      <c r="F278" s="1" t="s">
        <v>9</v>
      </c>
    </row>
    <row r="279" spans="1:6">
      <c r="A279">
        <v>1278</v>
      </c>
      <c r="B279" s="1" t="s">
        <v>10</v>
      </c>
      <c r="C279">
        <v>21</v>
      </c>
      <c r="D279" s="1" t="s">
        <v>16</v>
      </c>
      <c r="E279" s="1" t="s">
        <v>8</v>
      </c>
      <c r="F279" s="1" t="s">
        <v>15</v>
      </c>
    </row>
    <row r="280" spans="1:6">
      <c r="A280">
        <v>1279</v>
      </c>
      <c r="B280" s="1" t="s">
        <v>10</v>
      </c>
      <c r="C280">
        <v>37</v>
      </c>
      <c r="D280" s="1" t="s">
        <v>16</v>
      </c>
      <c r="E280" s="1" t="s">
        <v>8</v>
      </c>
      <c r="F280" s="1" t="s">
        <v>17</v>
      </c>
    </row>
    <row r="281" spans="1:6">
      <c r="A281">
        <v>1280</v>
      </c>
      <c r="B281" s="1" t="s">
        <v>10</v>
      </c>
      <c r="C281">
        <v>49</v>
      </c>
      <c r="D281" s="1" t="s">
        <v>16</v>
      </c>
      <c r="E281" s="1" t="s">
        <v>12</v>
      </c>
      <c r="F281" s="1" t="s">
        <v>17</v>
      </c>
    </row>
    <row r="282" spans="1:6">
      <c r="A282">
        <v>1281</v>
      </c>
      <c r="B282" s="1" t="s">
        <v>10</v>
      </c>
      <c r="C282">
        <v>53</v>
      </c>
      <c r="D282" s="1" t="s">
        <v>18</v>
      </c>
      <c r="E282" s="1" t="s">
        <v>8</v>
      </c>
      <c r="F282" s="1" t="s">
        <v>9</v>
      </c>
    </row>
    <row r="283" spans="1:6">
      <c r="A283">
        <v>1282</v>
      </c>
      <c r="B283" s="1" t="s">
        <v>6</v>
      </c>
      <c r="C283">
        <v>21</v>
      </c>
      <c r="D283" s="1" t="s">
        <v>18</v>
      </c>
      <c r="E283" s="1" t="s">
        <v>12</v>
      </c>
      <c r="F283" s="1" t="s">
        <v>15</v>
      </c>
    </row>
    <row r="284" spans="1:6">
      <c r="A284">
        <v>1283</v>
      </c>
      <c r="B284" s="1" t="s">
        <v>6</v>
      </c>
      <c r="C284">
        <v>44</v>
      </c>
      <c r="D284" s="1" t="s">
        <v>18</v>
      </c>
      <c r="E284" s="1" t="s">
        <v>12</v>
      </c>
      <c r="F284" s="1" t="s">
        <v>9</v>
      </c>
    </row>
    <row r="285" spans="1:6">
      <c r="A285">
        <v>1284</v>
      </c>
      <c r="B285" s="1" t="s">
        <v>6</v>
      </c>
      <c r="C285">
        <v>34</v>
      </c>
      <c r="D285" s="1" t="s">
        <v>11</v>
      </c>
      <c r="E285" s="1" t="s">
        <v>8</v>
      </c>
      <c r="F285" s="1" t="s">
        <v>9</v>
      </c>
    </row>
    <row r="286" spans="1:6">
      <c r="A286">
        <v>1285</v>
      </c>
      <c r="B286" s="1" t="s">
        <v>10</v>
      </c>
      <c r="C286">
        <v>29</v>
      </c>
      <c r="D286" s="1" t="s">
        <v>11</v>
      </c>
      <c r="E286" s="1" t="s">
        <v>12</v>
      </c>
      <c r="F286" s="1" t="s">
        <v>14</v>
      </c>
    </row>
    <row r="287" spans="1:6">
      <c r="A287">
        <v>1286</v>
      </c>
      <c r="B287" s="1" t="s">
        <v>6</v>
      </c>
      <c r="C287">
        <v>39</v>
      </c>
      <c r="D287" s="1" t="s">
        <v>16</v>
      </c>
      <c r="E287" s="1" t="s">
        <v>12</v>
      </c>
      <c r="F287" s="1" t="s">
        <v>14</v>
      </c>
    </row>
    <row r="288" spans="1:6">
      <c r="A288">
        <v>1287</v>
      </c>
      <c r="B288" s="1" t="s">
        <v>6</v>
      </c>
      <c r="C288">
        <v>34</v>
      </c>
      <c r="D288" s="1" t="s">
        <v>16</v>
      </c>
      <c r="E288" s="1" t="s">
        <v>8</v>
      </c>
      <c r="F288" s="1" t="s">
        <v>9</v>
      </c>
    </row>
    <row r="289" spans="1:6">
      <c r="A289">
        <v>1288</v>
      </c>
      <c r="B289" s="1" t="s">
        <v>10</v>
      </c>
      <c r="C289">
        <v>27</v>
      </c>
      <c r="D289" s="1" t="s">
        <v>11</v>
      </c>
      <c r="E289" s="1" t="s">
        <v>19</v>
      </c>
      <c r="F289" s="1" t="s">
        <v>9</v>
      </c>
    </row>
    <row r="290" spans="1:6">
      <c r="A290">
        <v>1289</v>
      </c>
      <c r="B290" s="1" t="s">
        <v>6</v>
      </c>
      <c r="C290">
        <v>18</v>
      </c>
      <c r="D290" s="1" t="s">
        <v>16</v>
      </c>
      <c r="E290" s="1" t="s">
        <v>12</v>
      </c>
      <c r="F290" s="1" t="s">
        <v>9</v>
      </c>
    </row>
    <row r="291" spans="1:6">
      <c r="A291">
        <v>1290</v>
      </c>
      <c r="B291" s="1" t="s">
        <v>10</v>
      </c>
      <c r="C291">
        <v>39</v>
      </c>
      <c r="D291" s="1" t="s">
        <v>16</v>
      </c>
      <c r="E291" s="1" t="s">
        <v>12</v>
      </c>
      <c r="F291" s="1" t="s">
        <v>17</v>
      </c>
    </row>
    <row r="292" spans="1:6">
      <c r="A292">
        <v>1291</v>
      </c>
      <c r="B292" s="1" t="s">
        <v>6</v>
      </c>
      <c r="C292">
        <v>43</v>
      </c>
      <c r="D292" s="1" t="s">
        <v>11</v>
      </c>
      <c r="E292" s="1" t="s">
        <v>12</v>
      </c>
      <c r="F292" s="1" t="s">
        <v>20</v>
      </c>
    </row>
    <row r="293" spans="1:6">
      <c r="A293">
        <v>1292</v>
      </c>
      <c r="B293" s="1" t="s">
        <v>6</v>
      </c>
      <c r="C293">
        <v>35</v>
      </c>
      <c r="D293" s="1" t="s">
        <v>18</v>
      </c>
      <c r="E293" s="1" t="s">
        <v>8</v>
      </c>
      <c r="F293" s="1" t="s">
        <v>9</v>
      </c>
    </row>
    <row r="294" spans="1:6">
      <c r="A294">
        <v>1293</v>
      </c>
      <c r="B294" s="1" t="s">
        <v>10</v>
      </c>
      <c r="C294">
        <v>31</v>
      </c>
      <c r="D294" s="1" t="s">
        <v>13</v>
      </c>
      <c r="E294" s="1" t="s">
        <v>19</v>
      </c>
      <c r="F294" s="1" t="s">
        <v>9</v>
      </c>
    </row>
    <row r="295" spans="1:6">
      <c r="A295">
        <v>1294</v>
      </c>
      <c r="B295" s="1" t="s">
        <v>6</v>
      </c>
      <c r="C295">
        <v>64</v>
      </c>
      <c r="D295" s="1" t="s">
        <v>13</v>
      </c>
      <c r="E295" s="1" t="s">
        <v>12</v>
      </c>
      <c r="F295" s="1" t="s">
        <v>17</v>
      </c>
    </row>
    <row r="296" spans="1:6">
      <c r="A296">
        <v>1295</v>
      </c>
      <c r="B296" s="1" t="s">
        <v>6</v>
      </c>
      <c r="C296">
        <v>46</v>
      </c>
      <c r="D296" s="1" t="s">
        <v>11</v>
      </c>
      <c r="E296" s="1" t="s">
        <v>12</v>
      </c>
      <c r="F296" s="1" t="s">
        <v>20</v>
      </c>
    </row>
    <row r="297" spans="1:6">
      <c r="A297">
        <v>1296</v>
      </c>
      <c r="B297" s="1" t="s">
        <v>10</v>
      </c>
      <c r="C297">
        <v>29</v>
      </c>
      <c r="D297" s="1" t="s">
        <v>11</v>
      </c>
      <c r="E297" s="1" t="s">
        <v>19</v>
      </c>
      <c r="F297" s="1" t="s">
        <v>15</v>
      </c>
    </row>
    <row r="298" spans="1:6">
      <c r="A298">
        <v>1297</v>
      </c>
      <c r="B298" s="1" t="s">
        <v>10</v>
      </c>
      <c r="C298">
        <v>53</v>
      </c>
      <c r="D298" s="1" t="s">
        <v>11</v>
      </c>
      <c r="E298" s="1" t="s">
        <v>8</v>
      </c>
      <c r="F298" s="1" t="s">
        <v>9</v>
      </c>
    </row>
    <row r="299" spans="1:6">
      <c r="A299">
        <v>1298</v>
      </c>
      <c r="B299" s="1" t="s">
        <v>6</v>
      </c>
      <c r="C299">
        <v>52</v>
      </c>
      <c r="D299" s="1" t="s">
        <v>18</v>
      </c>
      <c r="E299" s="1" t="s">
        <v>12</v>
      </c>
      <c r="F299" s="1" t="s">
        <v>9</v>
      </c>
    </row>
    <row r="300" spans="1:6">
      <c r="A300">
        <v>1299</v>
      </c>
      <c r="B300" s="1" t="s">
        <v>10</v>
      </c>
      <c r="C300">
        <v>29</v>
      </c>
      <c r="D300" s="1" t="s">
        <v>16</v>
      </c>
      <c r="E300" s="1" t="s">
        <v>8</v>
      </c>
      <c r="F300" s="1" t="s">
        <v>14</v>
      </c>
    </row>
    <row r="301" spans="1:6">
      <c r="A301">
        <v>1300</v>
      </c>
      <c r="B301" s="1" t="s">
        <v>6</v>
      </c>
      <c r="C301">
        <v>24</v>
      </c>
      <c r="D301" s="1" t="s">
        <v>11</v>
      </c>
      <c r="E301" s="1" t="s">
        <v>8</v>
      </c>
      <c r="F301" s="1" t="s">
        <v>15</v>
      </c>
    </row>
    <row r="302" spans="1:6">
      <c r="A302">
        <v>1301</v>
      </c>
      <c r="B302" s="1" t="s">
        <v>6</v>
      </c>
      <c r="C302">
        <v>46</v>
      </c>
      <c r="D302" s="1" t="s">
        <v>7</v>
      </c>
      <c r="E302" s="1" t="s">
        <v>8</v>
      </c>
      <c r="F302" s="1" t="s">
        <v>9</v>
      </c>
    </row>
    <row r="303" spans="1:6">
      <c r="A303">
        <v>1302</v>
      </c>
      <c r="B303" s="1" t="s">
        <v>10</v>
      </c>
      <c r="C303">
        <v>28</v>
      </c>
      <c r="D303" s="1" t="s">
        <v>16</v>
      </c>
      <c r="E303" s="1" t="s">
        <v>19</v>
      </c>
      <c r="F303" s="1" t="s">
        <v>14</v>
      </c>
    </row>
    <row r="304" spans="1:6">
      <c r="A304">
        <v>1303</v>
      </c>
      <c r="B304" s="1" t="s">
        <v>10</v>
      </c>
      <c r="C304">
        <v>50</v>
      </c>
      <c r="D304" s="1" t="s">
        <v>11</v>
      </c>
      <c r="E304" s="1" t="s">
        <v>19</v>
      </c>
      <c r="F304" s="1" t="s">
        <v>9</v>
      </c>
    </row>
    <row r="305" spans="1:6">
      <c r="A305">
        <v>1304</v>
      </c>
      <c r="B305" s="1" t="s">
        <v>10</v>
      </c>
      <c r="C305">
        <v>23</v>
      </c>
      <c r="D305" s="1" t="s">
        <v>11</v>
      </c>
      <c r="E305" s="1" t="s">
        <v>12</v>
      </c>
      <c r="F305" s="1" t="s">
        <v>17</v>
      </c>
    </row>
    <row r="306" spans="1:6">
      <c r="A306">
        <v>1305</v>
      </c>
      <c r="B306" s="1" t="s">
        <v>10</v>
      </c>
      <c r="C306">
        <v>64</v>
      </c>
      <c r="D306" s="1" t="s">
        <v>16</v>
      </c>
      <c r="E306" s="1" t="s">
        <v>12</v>
      </c>
      <c r="F306" s="1" t="s">
        <v>15</v>
      </c>
    </row>
    <row r="307" spans="1:6">
      <c r="A307">
        <v>1306</v>
      </c>
      <c r="B307" s="1" t="s">
        <v>10</v>
      </c>
      <c r="C307">
        <v>32</v>
      </c>
      <c r="D307" s="1" t="s">
        <v>16</v>
      </c>
      <c r="E307" s="1" t="s">
        <v>12</v>
      </c>
      <c r="F307" s="1" t="s">
        <v>9</v>
      </c>
    </row>
    <row r="308" spans="1:6">
      <c r="A308">
        <v>1307</v>
      </c>
      <c r="B308" s="1" t="s">
        <v>6</v>
      </c>
      <c r="C308">
        <v>49</v>
      </c>
      <c r="D308" s="1" t="s">
        <v>16</v>
      </c>
      <c r="E308" s="1" t="s">
        <v>19</v>
      </c>
      <c r="F308" s="1" t="s">
        <v>14</v>
      </c>
    </row>
    <row r="309" spans="1:6">
      <c r="A309">
        <v>1308</v>
      </c>
      <c r="B309" s="1" t="s">
        <v>6</v>
      </c>
      <c r="C309">
        <v>28</v>
      </c>
      <c r="D309" s="1" t="s">
        <v>16</v>
      </c>
      <c r="E309" s="1" t="s">
        <v>8</v>
      </c>
      <c r="F309" s="1" t="s">
        <v>15</v>
      </c>
    </row>
    <row r="310" spans="1:6">
      <c r="A310">
        <v>1309</v>
      </c>
      <c r="B310" s="1" t="s">
        <v>10</v>
      </c>
      <c r="C310">
        <v>40</v>
      </c>
      <c r="D310" s="1" t="s">
        <v>16</v>
      </c>
      <c r="E310" s="1" t="s">
        <v>8</v>
      </c>
      <c r="F310" s="1" t="s">
        <v>20</v>
      </c>
    </row>
    <row r="311" spans="1:6">
      <c r="A311">
        <v>1310</v>
      </c>
      <c r="B311" s="1" t="s">
        <v>6</v>
      </c>
      <c r="C311">
        <v>43</v>
      </c>
      <c r="D311" s="1" t="s">
        <v>7</v>
      </c>
      <c r="E311" s="1" t="s">
        <v>8</v>
      </c>
      <c r="F311" s="1" t="s">
        <v>15</v>
      </c>
    </row>
    <row r="312" spans="1:6">
      <c r="A312">
        <v>1311</v>
      </c>
      <c r="B312" s="1" t="s">
        <v>6</v>
      </c>
      <c r="C312">
        <v>51</v>
      </c>
      <c r="D312" s="1" t="s">
        <v>16</v>
      </c>
      <c r="E312" s="1" t="s">
        <v>12</v>
      </c>
      <c r="F312" s="1" t="s">
        <v>9</v>
      </c>
    </row>
    <row r="313" spans="1:6">
      <c r="A313">
        <v>1312</v>
      </c>
      <c r="B313" s="1" t="s">
        <v>6</v>
      </c>
      <c r="C313">
        <v>63</v>
      </c>
      <c r="D313" s="1" t="s">
        <v>11</v>
      </c>
      <c r="E313" s="1" t="s">
        <v>12</v>
      </c>
      <c r="F313" s="1" t="s">
        <v>14</v>
      </c>
    </row>
    <row r="314" spans="1:6">
      <c r="A314">
        <v>1313</v>
      </c>
      <c r="B314" s="1" t="s">
        <v>6</v>
      </c>
      <c r="C314">
        <v>51</v>
      </c>
      <c r="D314" s="1" t="s">
        <v>16</v>
      </c>
      <c r="E314" s="1" t="s">
        <v>8</v>
      </c>
      <c r="F314" s="1" t="s">
        <v>9</v>
      </c>
    </row>
    <row r="315" spans="1:6">
      <c r="A315">
        <v>1314</v>
      </c>
      <c r="B315" s="1" t="s">
        <v>10</v>
      </c>
      <c r="C315">
        <v>46</v>
      </c>
      <c r="D315" s="1" t="s">
        <v>13</v>
      </c>
      <c r="E315" s="1" t="s">
        <v>8</v>
      </c>
      <c r="F315" s="1" t="s">
        <v>20</v>
      </c>
    </row>
    <row r="316" spans="1:6">
      <c r="A316">
        <v>1315</v>
      </c>
      <c r="B316" s="1" t="s">
        <v>10</v>
      </c>
      <c r="C316">
        <v>21</v>
      </c>
      <c r="D316" s="1" t="s">
        <v>16</v>
      </c>
      <c r="E316" s="1" t="s">
        <v>12</v>
      </c>
      <c r="F316" s="1" t="s">
        <v>15</v>
      </c>
    </row>
    <row r="317" spans="1:6">
      <c r="A317">
        <v>1316</v>
      </c>
      <c r="B317" s="1" t="s">
        <v>10</v>
      </c>
      <c r="C317">
        <v>34</v>
      </c>
      <c r="D317" s="1" t="s">
        <v>11</v>
      </c>
      <c r="E317" s="1" t="s">
        <v>8</v>
      </c>
      <c r="F317" s="1" t="s">
        <v>15</v>
      </c>
    </row>
    <row r="318" spans="1:6">
      <c r="A318">
        <v>1317</v>
      </c>
      <c r="B318" s="1" t="s">
        <v>6</v>
      </c>
      <c r="C318">
        <v>52</v>
      </c>
      <c r="D318" s="1" t="s">
        <v>7</v>
      </c>
      <c r="E318" s="1" t="s">
        <v>12</v>
      </c>
      <c r="F318" s="1" t="s">
        <v>9</v>
      </c>
    </row>
    <row r="319" spans="1:6">
      <c r="A319">
        <v>1318</v>
      </c>
      <c r="B319" s="1" t="s">
        <v>6</v>
      </c>
      <c r="C319">
        <v>30</v>
      </c>
      <c r="D319" s="1" t="s">
        <v>7</v>
      </c>
      <c r="E319" s="1" t="s">
        <v>19</v>
      </c>
      <c r="F319" s="1" t="s">
        <v>15</v>
      </c>
    </row>
    <row r="320" spans="1:6">
      <c r="A320">
        <v>1319</v>
      </c>
      <c r="B320" s="1" t="s">
        <v>6</v>
      </c>
      <c r="C320">
        <v>58</v>
      </c>
      <c r="D320" s="1" t="s">
        <v>16</v>
      </c>
      <c r="E320" s="1" t="s">
        <v>8</v>
      </c>
      <c r="F320" s="1" t="s">
        <v>17</v>
      </c>
    </row>
    <row r="321" spans="1:6">
      <c r="A321">
        <v>1320</v>
      </c>
      <c r="B321" s="1" t="s">
        <v>6</v>
      </c>
      <c r="C321">
        <v>56</v>
      </c>
      <c r="D321" s="1" t="s">
        <v>7</v>
      </c>
      <c r="E321" s="1" t="s">
        <v>8</v>
      </c>
      <c r="F321" s="1" t="s">
        <v>17</v>
      </c>
    </row>
    <row r="322" spans="1:6">
      <c r="A322">
        <v>1321</v>
      </c>
      <c r="B322" s="1" t="s">
        <v>10</v>
      </c>
      <c r="C322">
        <v>32</v>
      </c>
      <c r="D322" s="1" t="s">
        <v>11</v>
      </c>
      <c r="E322" s="1" t="s">
        <v>12</v>
      </c>
      <c r="F322" s="1" t="s">
        <v>9</v>
      </c>
    </row>
    <row r="323" spans="1:6">
      <c r="A323">
        <v>1322</v>
      </c>
      <c r="B323" s="1" t="s">
        <v>10</v>
      </c>
      <c r="C323">
        <v>46</v>
      </c>
      <c r="D323" s="1" t="s">
        <v>11</v>
      </c>
      <c r="E323" s="1" t="s">
        <v>12</v>
      </c>
      <c r="F323" s="1" t="s">
        <v>9</v>
      </c>
    </row>
    <row r="324" spans="1:6">
      <c r="A324">
        <v>1323</v>
      </c>
      <c r="B324" s="1" t="s">
        <v>10</v>
      </c>
      <c r="C324">
        <v>46</v>
      </c>
      <c r="D324" s="1" t="s">
        <v>16</v>
      </c>
      <c r="E324" s="1" t="s">
        <v>12</v>
      </c>
      <c r="F324" s="1" t="s">
        <v>17</v>
      </c>
    </row>
    <row r="325" spans="1:6">
      <c r="A325">
        <v>1324</v>
      </c>
      <c r="B325" s="1" t="s">
        <v>6</v>
      </c>
      <c r="C325">
        <v>28</v>
      </c>
      <c r="D325" s="1" t="s">
        <v>16</v>
      </c>
      <c r="E325" s="1" t="s">
        <v>19</v>
      </c>
      <c r="F325" s="1" t="s">
        <v>20</v>
      </c>
    </row>
    <row r="326" spans="1:6">
      <c r="A326">
        <v>1325</v>
      </c>
      <c r="B326" s="1" t="s">
        <v>10</v>
      </c>
      <c r="C326">
        <v>49</v>
      </c>
      <c r="D326" s="1" t="s">
        <v>18</v>
      </c>
      <c r="E326" s="1" t="s">
        <v>8</v>
      </c>
      <c r="F326" s="1" t="s">
        <v>9</v>
      </c>
    </row>
    <row r="327" spans="1:6">
      <c r="A327">
        <v>1326</v>
      </c>
      <c r="B327" s="1" t="s">
        <v>10</v>
      </c>
      <c r="C327">
        <v>19</v>
      </c>
      <c r="D327" s="1" t="s">
        <v>11</v>
      </c>
      <c r="E327" s="1" t="s">
        <v>12</v>
      </c>
      <c r="F327" s="1" t="s">
        <v>15</v>
      </c>
    </row>
    <row r="328" spans="1:6">
      <c r="A328">
        <v>1327</v>
      </c>
      <c r="B328" s="1" t="s">
        <v>10</v>
      </c>
      <c r="C328">
        <v>64</v>
      </c>
      <c r="D328" s="1" t="s">
        <v>11</v>
      </c>
      <c r="E328" s="1" t="s">
        <v>12</v>
      </c>
      <c r="F328" s="1" t="s">
        <v>15</v>
      </c>
    </row>
    <row r="329" spans="1:6">
      <c r="A329">
        <v>1328</v>
      </c>
      <c r="B329" s="1" t="s">
        <v>10</v>
      </c>
      <c r="C329">
        <v>31</v>
      </c>
      <c r="D329" s="1" t="s">
        <v>18</v>
      </c>
      <c r="E329" s="1" t="s">
        <v>19</v>
      </c>
      <c r="F329" s="1" t="s">
        <v>17</v>
      </c>
    </row>
    <row r="330" spans="1:6">
      <c r="A330">
        <v>1329</v>
      </c>
      <c r="B330" s="1" t="s">
        <v>6</v>
      </c>
      <c r="C330">
        <v>37</v>
      </c>
      <c r="D330" s="1" t="s">
        <v>18</v>
      </c>
      <c r="E330" s="1" t="s">
        <v>8</v>
      </c>
      <c r="F330" s="1" t="s">
        <v>9</v>
      </c>
    </row>
    <row r="331" spans="1:6">
      <c r="A331">
        <v>1330</v>
      </c>
      <c r="B331" s="1" t="s">
        <v>6</v>
      </c>
      <c r="C331">
        <v>39</v>
      </c>
      <c r="D331" s="1" t="s">
        <v>16</v>
      </c>
      <c r="E331" s="1" t="s">
        <v>12</v>
      </c>
      <c r="F331" s="1" t="s">
        <v>9</v>
      </c>
    </row>
    <row r="332" spans="1:6">
      <c r="A332">
        <v>1331</v>
      </c>
      <c r="B332" s="1" t="s">
        <v>6</v>
      </c>
      <c r="C332">
        <v>28</v>
      </c>
      <c r="D332" s="1" t="s">
        <v>11</v>
      </c>
      <c r="E332" s="1" t="s">
        <v>12</v>
      </c>
      <c r="F332" s="1" t="s">
        <v>17</v>
      </c>
    </row>
    <row r="333" spans="1:6">
      <c r="A333">
        <v>1332</v>
      </c>
      <c r="B333" s="1" t="s">
        <v>10</v>
      </c>
      <c r="C333">
        <v>44</v>
      </c>
      <c r="D333" s="1" t="s">
        <v>16</v>
      </c>
      <c r="E333" s="1" t="s">
        <v>8</v>
      </c>
      <c r="F333" s="1" t="s">
        <v>9</v>
      </c>
    </row>
    <row r="334" spans="1:6">
      <c r="A334">
        <v>1333</v>
      </c>
      <c r="B334" s="1" t="s">
        <v>6</v>
      </c>
      <c r="C334">
        <v>20</v>
      </c>
      <c r="D334" s="1" t="s">
        <v>18</v>
      </c>
      <c r="E334" s="1" t="s">
        <v>8</v>
      </c>
      <c r="F334" s="1" t="s">
        <v>15</v>
      </c>
    </row>
    <row r="335" spans="1:6">
      <c r="A335">
        <v>1334</v>
      </c>
      <c r="B335" s="1" t="s">
        <v>6</v>
      </c>
      <c r="C335">
        <v>34</v>
      </c>
      <c r="D335" s="1" t="s">
        <v>18</v>
      </c>
      <c r="E335" s="1" t="s">
        <v>19</v>
      </c>
      <c r="F335" s="1" t="s">
        <v>15</v>
      </c>
    </row>
    <row r="336" spans="1:6">
      <c r="A336">
        <v>1335</v>
      </c>
      <c r="B336" s="1" t="s">
        <v>6</v>
      </c>
      <c r="C336">
        <v>61</v>
      </c>
      <c r="D336" s="1" t="s">
        <v>13</v>
      </c>
      <c r="E336" s="1" t="s">
        <v>8</v>
      </c>
      <c r="F336" s="1" t="s">
        <v>15</v>
      </c>
    </row>
    <row r="337" spans="1:6">
      <c r="A337">
        <v>1336</v>
      </c>
      <c r="B337" s="1" t="s">
        <v>6</v>
      </c>
      <c r="C337">
        <v>45</v>
      </c>
      <c r="D337" s="1" t="s">
        <v>16</v>
      </c>
      <c r="E337" s="1" t="s">
        <v>8</v>
      </c>
      <c r="F337" s="1" t="s">
        <v>15</v>
      </c>
    </row>
    <row r="338" spans="1:6">
      <c r="A338">
        <v>1337</v>
      </c>
      <c r="B338" s="1" t="s">
        <v>10</v>
      </c>
      <c r="C338">
        <v>46</v>
      </c>
      <c r="D338" s="1" t="s">
        <v>16</v>
      </c>
      <c r="E338" s="1" t="s">
        <v>8</v>
      </c>
      <c r="F338" s="1" t="s">
        <v>15</v>
      </c>
    </row>
    <row r="339" spans="1:6">
      <c r="A339">
        <v>1338</v>
      </c>
      <c r="B339" s="1" t="s">
        <v>10</v>
      </c>
      <c r="C339">
        <v>38</v>
      </c>
      <c r="D339" s="1" t="s">
        <v>16</v>
      </c>
      <c r="E339" s="1" t="s">
        <v>19</v>
      </c>
      <c r="F339" s="1" t="s">
        <v>9</v>
      </c>
    </row>
    <row r="340" spans="1:6">
      <c r="A340">
        <v>1339</v>
      </c>
      <c r="B340" s="1" t="s">
        <v>6</v>
      </c>
      <c r="C340">
        <v>64</v>
      </c>
      <c r="D340" s="1" t="s">
        <v>16</v>
      </c>
      <c r="E340" s="1" t="s">
        <v>12</v>
      </c>
      <c r="F340" s="1" t="s">
        <v>14</v>
      </c>
    </row>
    <row r="341" spans="1:6">
      <c r="A341">
        <v>1340</v>
      </c>
      <c r="B341" s="1" t="s">
        <v>6</v>
      </c>
      <c r="C341">
        <v>33</v>
      </c>
      <c r="D341" s="1" t="s">
        <v>16</v>
      </c>
      <c r="E341" s="1" t="s">
        <v>12</v>
      </c>
      <c r="F341" s="1" t="s">
        <v>17</v>
      </c>
    </row>
    <row r="342" spans="1:6">
      <c r="A342">
        <v>1341</v>
      </c>
      <c r="B342" s="1" t="s">
        <v>6</v>
      </c>
      <c r="C342">
        <v>54</v>
      </c>
      <c r="D342" s="1" t="s">
        <v>7</v>
      </c>
      <c r="E342" s="1" t="s">
        <v>8</v>
      </c>
      <c r="F342" s="1" t="s">
        <v>17</v>
      </c>
    </row>
    <row r="343" spans="1:6">
      <c r="A343">
        <v>1342</v>
      </c>
      <c r="B343" s="1" t="s">
        <v>6</v>
      </c>
      <c r="C343">
        <v>37</v>
      </c>
      <c r="D343" s="1" t="s">
        <v>16</v>
      </c>
      <c r="E343" s="1" t="s">
        <v>12</v>
      </c>
      <c r="F343" s="1" t="s">
        <v>9</v>
      </c>
    </row>
    <row r="344" spans="1:6">
      <c r="A344">
        <v>1343</v>
      </c>
      <c r="B344" s="1" t="s">
        <v>6</v>
      </c>
      <c r="C344">
        <v>23</v>
      </c>
      <c r="D344" s="1" t="s">
        <v>16</v>
      </c>
      <c r="E344" s="1" t="s">
        <v>12</v>
      </c>
      <c r="F344" s="1" t="s">
        <v>9</v>
      </c>
    </row>
    <row r="345" spans="1:6">
      <c r="A345">
        <v>1344</v>
      </c>
      <c r="B345" s="1" t="s">
        <v>6</v>
      </c>
      <c r="C345">
        <v>36</v>
      </c>
      <c r="D345" s="1" t="s">
        <v>18</v>
      </c>
      <c r="E345" s="1" t="s">
        <v>12</v>
      </c>
      <c r="F345" s="1" t="s">
        <v>9</v>
      </c>
    </row>
    <row r="346" spans="1:6">
      <c r="A346">
        <v>1345</v>
      </c>
      <c r="B346" s="1" t="s">
        <v>6</v>
      </c>
      <c r="C346">
        <v>22</v>
      </c>
      <c r="D346" s="1" t="s">
        <v>11</v>
      </c>
      <c r="E346" s="1" t="s">
        <v>19</v>
      </c>
      <c r="F346" s="1" t="s">
        <v>15</v>
      </c>
    </row>
    <row r="347" spans="1:6">
      <c r="A347">
        <v>1346</v>
      </c>
      <c r="B347" s="1" t="s">
        <v>10</v>
      </c>
      <c r="C347">
        <v>20</v>
      </c>
      <c r="D347" s="1" t="s">
        <v>18</v>
      </c>
      <c r="E347" s="1" t="s">
        <v>8</v>
      </c>
      <c r="F347" s="1" t="s">
        <v>15</v>
      </c>
    </row>
    <row r="348" spans="1:6">
      <c r="A348">
        <v>1347</v>
      </c>
      <c r="B348" s="1" t="s">
        <v>10</v>
      </c>
      <c r="C348">
        <v>18</v>
      </c>
      <c r="D348" s="1" t="s">
        <v>16</v>
      </c>
      <c r="E348" s="1" t="s">
        <v>12</v>
      </c>
      <c r="F348" s="1" t="s">
        <v>14</v>
      </c>
    </row>
    <row r="349" spans="1:6">
      <c r="A349">
        <v>1348</v>
      </c>
      <c r="B349" s="1" t="s">
        <v>6</v>
      </c>
      <c r="C349">
        <v>55</v>
      </c>
      <c r="D349" s="1" t="s">
        <v>11</v>
      </c>
      <c r="E349" s="1" t="s">
        <v>8</v>
      </c>
      <c r="F349" s="1" t="s">
        <v>9</v>
      </c>
    </row>
    <row r="350" spans="1:6">
      <c r="A350">
        <v>1349</v>
      </c>
      <c r="B350" s="1" t="s">
        <v>6</v>
      </c>
      <c r="C350">
        <v>32</v>
      </c>
      <c r="D350" s="1" t="s">
        <v>16</v>
      </c>
      <c r="E350" s="1" t="s">
        <v>12</v>
      </c>
      <c r="F350" s="1" t="s">
        <v>9</v>
      </c>
    </row>
    <row r="351" spans="1:6">
      <c r="A351">
        <v>1350</v>
      </c>
      <c r="B351" s="1" t="s">
        <v>10</v>
      </c>
      <c r="C351">
        <v>51</v>
      </c>
      <c r="D351" s="1" t="s">
        <v>16</v>
      </c>
      <c r="E351" s="1" t="s">
        <v>8</v>
      </c>
      <c r="F351" s="1" t="s">
        <v>15</v>
      </c>
    </row>
    <row r="352" spans="1:6">
      <c r="A352">
        <v>1351</v>
      </c>
      <c r="B352" s="1" t="s">
        <v>6</v>
      </c>
      <c r="C352">
        <v>52</v>
      </c>
      <c r="D352" s="1" t="s">
        <v>7</v>
      </c>
      <c r="E352" s="1" t="s">
        <v>8</v>
      </c>
      <c r="F352" s="1" t="s">
        <v>14</v>
      </c>
    </row>
    <row r="353" spans="1:6">
      <c r="A353">
        <v>1352</v>
      </c>
      <c r="B353" s="1" t="s">
        <v>10</v>
      </c>
      <c r="C353">
        <v>42</v>
      </c>
      <c r="D353" s="1" t="s">
        <v>16</v>
      </c>
      <c r="E353" s="1" t="s">
        <v>8</v>
      </c>
      <c r="F353" s="1" t="s">
        <v>9</v>
      </c>
    </row>
    <row r="354" spans="1:6">
      <c r="A354">
        <v>1353</v>
      </c>
      <c r="B354" s="1" t="s">
        <v>10</v>
      </c>
      <c r="C354">
        <v>41</v>
      </c>
      <c r="D354" s="1" t="s">
        <v>11</v>
      </c>
      <c r="E354" s="1" t="s">
        <v>12</v>
      </c>
      <c r="F354" s="1" t="s">
        <v>14</v>
      </c>
    </row>
    <row r="355" spans="1:6">
      <c r="A355">
        <v>1354</v>
      </c>
      <c r="B355" s="1" t="s">
        <v>6</v>
      </c>
      <c r="C355">
        <v>29</v>
      </c>
      <c r="D355" s="1" t="s">
        <v>11</v>
      </c>
      <c r="E355" s="1" t="s">
        <v>8</v>
      </c>
      <c r="F355" s="1" t="s">
        <v>9</v>
      </c>
    </row>
    <row r="356" spans="1:6">
      <c r="A356">
        <v>1355</v>
      </c>
      <c r="B356" s="1" t="s">
        <v>6</v>
      </c>
      <c r="C356">
        <v>35</v>
      </c>
      <c r="D356" s="1" t="s">
        <v>16</v>
      </c>
      <c r="E356" s="1" t="s">
        <v>12</v>
      </c>
      <c r="F356" s="1" t="s">
        <v>17</v>
      </c>
    </row>
    <row r="357" spans="1:6">
      <c r="A357">
        <v>1356</v>
      </c>
      <c r="B357" s="1" t="s">
        <v>10</v>
      </c>
      <c r="C357">
        <v>32</v>
      </c>
      <c r="D357" s="1" t="s">
        <v>7</v>
      </c>
      <c r="E357" s="1" t="s">
        <v>8</v>
      </c>
      <c r="F357" s="1" t="s">
        <v>17</v>
      </c>
    </row>
    <row r="358" spans="1:6">
      <c r="A358">
        <v>1357</v>
      </c>
      <c r="B358" s="1" t="s">
        <v>6</v>
      </c>
      <c r="C358">
        <v>61</v>
      </c>
      <c r="D358" s="1" t="s">
        <v>16</v>
      </c>
      <c r="E358" s="1" t="s">
        <v>8</v>
      </c>
      <c r="F358" s="1" t="s">
        <v>9</v>
      </c>
    </row>
    <row r="359" spans="1:6">
      <c r="A359">
        <v>1358</v>
      </c>
      <c r="B359" s="1" t="s">
        <v>10</v>
      </c>
      <c r="C359">
        <v>33</v>
      </c>
      <c r="D359" s="1" t="s">
        <v>18</v>
      </c>
      <c r="E359" s="1" t="s">
        <v>12</v>
      </c>
      <c r="F359" s="1" t="s">
        <v>9</v>
      </c>
    </row>
    <row r="360" spans="1:6">
      <c r="A360">
        <v>1359</v>
      </c>
      <c r="B360" s="1" t="s">
        <v>10</v>
      </c>
      <c r="C360">
        <v>44</v>
      </c>
      <c r="D360" s="1" t="s">
        <v>13</v>
      </c>
      <c r="E360" s="1" t="s">
        <v>8</v>
      </c>
      <c r="F360" s="1" t="s">
        <v>15</v>
      </c>
    </row>
    <row r="361" spans="1:6">
      <c r="A361">
        <v>1360</v>
      </c>
      <c r="B361" s="1" t="s">
        <v>10</v>
      </c>
      <c r="C361">
        <v>25</v>
      </c>
      <c r="D361" s="1" t="s">
        <v>11</v>
      </c>
      <c r="E361" s="1" t="s">
        <v>8</v>
      </c>
      <c r="F361" s="1" t="s">
        <v>9</v>
      </c>
    </row>
    <row r="362" spans="1:6">
      <c r="A362">
        <v>1361</v>
      </c>
      <c r="B362" s="1" t="s">
        <v>6</v>
      </c>
      <c r="C362">
        <v>63</v>
      </c>
      <c r="D362" s="1" t="s">
        <v>13</v>
      </c>
      <c r="E362" s="1" t="s">
        <v>12</v>
      </c>
      <c r="F362" s="1" t="s">
        <v>14</v>
      </c>
    </row>
    <row r="363" spans="1:6">
      <c r="A363">
        <v>1362</v>
      </c>
      <c r="B363" s="1" t="s">
        <v>10</v>
      </c>
      <c r="C363">
        <v>42</v>
      </c>
      <c r="D363" s="1" t="s">
        <v>16</v>
      </c>
      <c r="E363" s="1" t="s">
        <v>8</v>
      </c>
      <c r="F363" s="1" t="s">
        <v>17</v>
      </c>
    </row>
    <row r="364" spans="1:6">
      <c r="A364">
        <v>1363</v>
      </c>
      <c r="B364" s="1" t="s">
        <v>6</v>
      </c>
      <c r="C364">
        <v>34</v>
      </c>
      <c r="D364" s="1" t="s">
        <v>11</v>
      </c>
      <c r="E364" s="1" t="s">
        <v>8</v>
      </c>
      <c r="F364" s="1" t="s">
        <v>14</v>
      </c>
    </row>
    <row r="365" spans="1:6">
      <c r="A365">
        <v>1364</v>
      </c>
      <c r="B365" s="1" t="s">
        <v>10</v>
      </c>
      <c r="C365">
        <v>46</v>
      </c>
      <c r="D365" s="1" t="s">
        <v>16</v>
      </c>
      <c r="E365" s="1" t="s">
        <v>8</v>
      </c>
      <c r="F365" s="1" t="s">
        <v>17</v>
      </c>
    </row>
    <row r="366" spans="1:6">
      <c r="A366">
        <v>1365</v>
      </c>
      <c r="B366" s="1" t="s">
        <v>10</v>
      </c>
      <c r="C366">
        <v>25</v>
      </c>
      <c r="D366" s="1" t="s">
        <v>18</v>
      </c>
      <c r="E366" s="1" t="s">
        <v>19</v>
      </c>
      <c r="F366" s="1" t="s">
        <v>15</v>
      </c>
    </row>
    <row r="367" spans="1:6">
      <c r="A367">
        <v>1366</v>
      </c>
      <c r="B367" s="1" t="s">
        <v>6</v>
      </c>
      <c r="C367">
        <v>32</v>
      </c>
      <c r="D367" s="1" t="s">
        <v>13</v>
      </c>
      <c r="E367" s="1" t="s">
        <v>12</v>
      </c>
      <c r="F367" s="1" t="s">
        <v>9</v>
      </c>
    </row>
    <row r="368" spans="1:6">
      <c r="A368">
        <v>1367</v>
      </c>
      <c r="B368" s="1" t="s">
        <v>10</v>
      </c>
      <c r="C368">
        <v>44</v>
      </c>
      <c r="D368" s="1" t="s">
        <v>16</v>
      </c>
      <c r="E368" s="1" t="s">
        <v>12</v>
      </c>
      <c r="F368" s="1" t="s">
        <v>14</v>
      </c>
    </row>
    <row r="369" spans="1:6">
      <c r="A369">
        <v>1368</v>
      </c>
      <c r="B369" s="1" t="s">
        <v>10</v>
      </c>
      <c r="C369">
        <v>63</v>
      </c>
      <c r="D369" s="1" t="s">
        <v>18</v>
      </c>
      <c r="E369" s="1" t="s">
        <v>12</v>
      </c>
      <c r="F369" s="1" t="s">
        <v>15</v>
      </c>
    </row>
    <row r="370" spans="1:6">
      <c r="A370">
        <v>1369</v>
      </c>
      <c r="B370" s="1" t="s">
        <v>6</v>
      </c>
      <c r="C370">
        <v>24</v>
      </c>
      <c r="D370" s="1" t="s">
        <v>16</v>
      </c>
      <c r="E370" s="1" t="s">
        <v>8</v>
      </c>
      <c r="F370" s="1" t="s">
        <v>14</v>
      </c>
    </row>
    <row r="371" spans="1:6">
      <c r="A371">
        <v>1370</v>
      </c>
      <c r="B371" s="1" t="s">
        <v>6</v>
      </c>
      <c r="C371">
        <v>20</v>
      </c>
      <c r="D371" s="1" t="s">
        <v>11</v>
      </c>
      <c r="E371" s="1" t="s">
        <v>8</v>
      </c>
      <c r="F371" s="1" t="s">
        <v>9</v>
      </c>
    </row>
    <row r="372" spans="1:6">
      <c r="A372">
        <v>1371</v>
      </c>
      <c r="B372" s="1" t="s">
        <v>6</v>
      </c>
      <c r="C372">
        <v>46</v>
      </c>
      <c r="D372" s="1" t="s">
        <v>11</v>
      </c>
      <c r="E372" s="1" t="s">
        <v>12</v>
      </c>
      <c r="F372" s="1" t="s">
        <v>9</v>
      </c>
    </row>
    <row r="373" spans="1:6">
      <c r="A373">
        <v>1372</v>
      </c>
      <c r="B373" s="1" t="s">
        <v>6</v>
      </c>
      <c r="C373">
        <v>61</v>
      </c>
      <c r="D373" s="1" t="s">
        <v>13</v>
      </c>
      <c r="E373" s="1" t="s">
        <v>8</v>
      </c>
      <c r="F373" s="1" t="s">
        <v>20</v>
      </c>
    </row>
    <row r="374" spans="1:6">
      <c r="A374">
        <v>1373</v>
      </c>
      <c r="B374" s="1" t="s">
        <v>6</v>
      </c>
      <c r="C374">
        <v>41</v>
      </c>
      <c r="D374" s="1" t="s">
        <v>11</v>
      </c>
      <c r="E374" s="1" t="s">
        <v>8</v>
      </c>
      <c r="F374" s="1" t="s">
        <v>9</v>
      </c>
    </row>
    <row r="375" spans="1:6">
      <c r="A375">
        <v>1374</v>
      </c>
      <c r="B375" s="1" t="s">
        <v>10</v>
      </c>
      <c r="C375">
        <v>20</v>
      </c>
      <c r="D375" s="1" t="s">
        <v>16</v>
      </c>
      <c r="E375" s="1" t="s">
        <v>8</v>
      </c>
      <c r="F375" s="1" t="s">
        <v>20</v>
      </c>
    </row>
    <row r="376" spans="1:6">
      <c r="A376">
        <v>1375</v>
      </c>
      <c r="B376" s="1" t="s">
        <v>6</v>
      </c>
      <c r="C376">
        <v>37</v>
      </c>
      <c r="D376" s="1" t="s">
        <v>16</v>
      </c>
      <c r="E376" s="1" t="s">
        <v>8</v>
      </c>
      <c r="F376" s="1" t="s">
        <v>20</v>
      </c>
    </row>
    <row r="377" spans="1:6">
      <c r="A377">
        <v>1376</v>
      </c>
      <c r="B377" s="1" t="s">
        <v>6</v>
      </c>
      <c r="C377">
        <v>63</v>
      </c>
      <c r="D377" s="1" t="s">
        <v>16</v>
      </c>
      <c r="E377" s="1" t="s">
        <v>19</v>
      </c>
      <c r="F377" s="1" t="s">
        <v>17</v>
      </c>
    </row>
    <row r="378" spans="1:6">
      <c r="A378">
        <v>1377</v>
      </c>
      <c r="B378" s="1" t="s">
        <v>10</v>
      </c>
      <c r="C378">
        <v>32</v>
      </c>
      <c r="D378" s="1" t="s">
        <v>16</v>
      </c>
      <c r="E378" s="1" t="s">
        <v>8</v>
      </c>
      <c r="F378" s="1" t="s">
        <v>14</v>
      </c>
    </row>
    <row r="379" spans="1:6">
      <c r="A379">
        <v>1378</v>
      </c>
      <c r="B379" s="1" t="s">
        <v>6</v>
      </c>
      <c r="C379">
        <v>42</v>
      </c>
      <c r="D379" s="1" t="s">
        <v>16</v>
      </c>
      <c r="E379" s="1" t="s">
        <v>12</v>
      </c>
      <c r="F379" s="1" t="s">
        <v>14</v>
      </c>
    </row>
    <row r="380" spans="1:6">
      <c r="A380">
        <v>1379</v>
      </c>
      <c r="B380" s="1" t="s">
        <v>10</v>
      </c>
      <c r="C380">
        <v>47</v>
      </c>
      <c r="D380" s="1" t="s">
        <v>7</v>
      </c>
      <c r="E380" s="1" t="s">
        <v>8</v>
      </c>
      <c r="F380" s="1" t="s">
        <v>17</v>
      </c>
    </row>
    <row r="381" spans="1:6">
      <c r="A381">
        <v>1380</v>
      </c>
      <c r="B381" s="1" t="s">
        <v>6</v>
      </c>
      <c r="C381">
        <v>31</v>
      </c>
      <c r="D381" s="1" t="s">
        <v>11</v>
      </c>
      <c r="E381" s="1" t="s">
        <v>19</v>
      </c>
      <c r="F381" s="1" t="s">
        <v>9</v>
      </c>
    </row>
    <row r="382" spans="1:6">
      <c r="A382">
        <v>1381</v>
      </c>
      <c r="B382" s="1" t="s">
        <v>6</v>
      </c>
      <c r="C382">
        <v>24</v>
      </c>
      <c r="D382" s="1" t="s">
        <v>11</v>
      </c>
      <c r="E382" s="1" t="s">
        <v>8</v>
      </c>
      <c r="F382" s="1" t="s">
        <v>15</v>
      </c>
    </row>
    <row r="383" spans="1:6">
      <c r="A383">
        <v>1382</v>
      </c>
      <c r="B383" s="1" t="s">
        <v>10</v>
      </c>
      <c r="C383">
        <v>34</v>
      </c>
      <c r="D383" s="1" t="s">
        <v>16</v>
      </c>
      <c r="E383" s="1" t="s">
        <v>8</v>
      </c>
      <c r="F383" s="1" t="s">
        <v>14</v>
      </c>
    </row>
    <row r="384" spans="1:6">
      <c r="A384">
        <v>1383</v>
      </c>
      <c r="B384" s="1" t="s">
        <v>10</v>
      </c>
      <c r="C384">
        <v>61</v>
      </c>
      <c r="D384" s="1" t="s">
        <v>7</v>
      </c>
      <c r="E384" s="1" t="s">
        <v>12</v>
      </c>
      <c r="F384" s="1" t="s">
        <v>15</v>
      </c>
    </row>
    <row r="385" spans="1:6">
      <c r="A385">
        <v>1384</v>
      </c>
      <c r="B385" s="1" t="s">
        <v>10</v>
      </c>
      <c r="C385">
        <v>37</v>
      </c>
      <c r="D385" s="1" t="s">
        <v>18</v>
      </c>
      <c r="E385" s="1" t="s">
        <v>12</v>
      </c>
      <c r="F385" s="1" t="s">
        <v>15</v>
      </c>
    </row>
    <row r="386" spans="1:6">
      <c r="A386">
        <v>1385</v>
      </c>
      <c r="B386" s="1" t="s">
        <v>10</v>
      </c>
      <c r="C386">
        <v>53</v>
      </c>
      <c r="D386" s="1" t="s">
        <v>16</v>
      </c>
      <c r="E386" s="1" t="s">
        <v>8</v>
      </c>
      <c r="F386" s="1" t="s">
        <v>15</v>
      </c>
    </row>
    <row r="387" spans="1:6">
      <c r="A387">
        <v>1386</v>
      </c>
      <c r="B387" s="1" t="s">
        <v>10</v>
      </c>
      <c r="C387">
        <v>26</v>
      </c>
      <c r="D387" s="1" t="s">
        <v>18</v>
      </c>
      <c r="E387" s="1" t="s">
        <v>8</v>
      </c>
      <c r="F387" s="1" t="s">
        <v>14</v>
      </c>
    </row>
    <row r="388" spans="1:6">
      <c r="A388">
        <v>1387</v>
      </c>
      <c r="B388" s="1" t="s">
        <v>6</v>
      </c>
      <c r="C388">
        <v>55</v>
      </c>
      <c r="D388" s="1" t="s">
        <v>11</v>
      </c>
      <c r="E388" s="1" t="s">
        <v>8</v>
      </c>
      <c r="F388" s="1" t="s">
        <v>17</v>
      </c>
    </row>
    <row r="389" spans="1:6">
      <c r="A389">
        <v>1388</v>
      </c>
      <c r="B389" s="1" t="s">
        <v>6</v>
      </c>
      <c r="C389">
        <v>39</v>
      </c>
      <c r="D389" s="1" t="s">
        <v>16</v>
      </c>
      <c r="E389" s="1" t="s">
        <v>8</v>
      </c>
      <c r="F389" s="1" t="s">
        <v>9</v>
      </c>
    </row>
    <row r="390" spans="1:6">
      <c r="A390">
        <v>1389</v>
      </c>
      <c r="B390" s="1" t="s">
        <v>10</v>
      </c>
      <c r="C390">
        <v>19</v>
      </c>
      <c r="D390" s="1" t="s">
        <v>11</v>
      </c>
      <c r="E390" s="1" t="s">
        <v>8</v>
      </c>
      <c r="F390" s="1" t="s">
        <v>20</v>
      </c>
    </row>
    <row r="391" spans="1:6">
      <c r="A391">
        <v>1390</v>
      </c>
      <c r="B391" s="1" t="s">
        <v>10</v>
      </c>
      <c r="C391">
        <v>41</v>
      </c>
      <c r="D391" s="1" t="s">
        <v>11</v>
      </c>
      <c r="E391" s="1" t="s">
        <v>8</v>
      </c>
      <c r="F391" s="1" t="s">
        <v>14</v>
      </c>
    </row>
    <row r="392" spans="1:6">
      <c r="A392">
        <v>1391</v>
      </c>
      <c r="B392" s="1" t="s">
        <v>10</v>
      </c>
      <c r="C392">
        <v>25</v>
      </c>
      <c r="D392" s="1" t="s">
        <v>16</v>
      </c>
      <c r="E392" s="1" t="s">
        <v>8</v>
      </c>
      <c r="F392" s="1" t="s">
        <v>17</v>
      </c>
    </row>
    <row r="393" spans="1:6">
      <c r="A393">
        <v>1392</v>
      </c>
      <c r="B393" s="1" t="s">
        <v>6</v>
      </c>
      <c r="C393">
        <v>28</v>
      </c>
      <c r="D393" s="1" t="s">
        <v>13</v>
      </c>
      <c r="E393" s="1" t="s">
        <v>8</v>
      </c>
      <c r="F393" s="1" t="s">
        <v>14</v>
      </c>
    </row>
    <row r="394" spans="1:6">
      <c r="A394">
        <v>1393</v>
      </c>
      <c r="B394" s="1" t="s">
        <v>6</v>
      </c>
      <c r="C394">
        <v>30</v>
      </c>
      <c r="D394" s="1" t="s">
        <v>7</v>
      </c>
      <c r="E394" s="1" t="s">
        <v>12</v>
      </c>
      <c r="F394" s="1" t="s">
        <v>17</v>
      </c>
    </row>
    <row r="395" spans="1:6">
      <c r="A395">
        <v>1394</v>
      </c>
      <c r="B395" s="1" t="s">
        <v>10</v>
      </c>
      <c r="C395">
        <v>34</v>
      </c>
      <c r="D395" s="1" t="s">
        <v>18</v>
      </c>
      <c r="E395" s="1" t="s">
        <v>19</v>
      </c>
      <c r="F395" s="1" t="s">
        <v>9</v>
      </c>
    </row>
    <row r="396" spans="1:6">
      <c r="A396">
        <v>1395</v>
      </c>
      <c r="B396" s="1" t="s">
        <v>6</v>
      </c>
      <c r="C396">
        <v>25</v>
      </c>
      <c r="D396" s="1" t="s">
        <v>11</v>
      </c>
      <c r="E396" s="1" t="s">
        <v>12</v>
      </c>
      <c r="F396" s="1" t="s">
        <v>17</v>
      </c>
    </row>
    <row r="397" spans="1:6">
      <c r="A397">
        <v>1396</v>
      </c>
      <c r="B397" s="1" t="s">
        <v>10</v>
      </c>
      <c r="C397">
        <v>38</v>
      </c>
      <c r="D397" s="1" t="s">
        <v>11</v>
      </c>
      <c r="E397" s="1" t="s">
        <v>8</v>
      </c>
      <c r="F397" s="1" t="s">
        <v>9</v>
      </c>
    </row>
    <row r="398" spans="1:6">
      <c r="A398">
        <v>1397</v>
      </c>
      <c r="B398" s="1" t="s">
        <v>10</v>
      </c>
      <c r="C398">
        <v>35</v>
      </c>
      <c r="D398" s="1" t="s">
        <v>18</v>
      </c>
      <c r="E398" s="1" t="s">
        <v>8</v>
      </c>
      <c r="F398" s="1" t="s">
        <v>17</v>
      </c>
    </row>
    <row r="399" spans="1:6">
      <c r="A399">
        <v>1398</v>
      </c>
      <c r="B399" s="1" t="s">
        <v>6</v>
      </c>
      <c r="C399">
        <v>47</v>
      </c>
      <c r="D399" s="1" t="s">
        <v>11</v>
      </c>
      <c r="E399" s="1" t="s">
        <v>19</v>
      </c>
      <c r="F399" s="1" t="s">
        <v>20</v>
      </c>
    </row>
    <row r="400" spans="1:6">
      <c r="A400">
        <v>1399</v>
      </c>
      <c r="B400" s="1" t="s">
        <v>10</v>
      </c>
      <c r="C400">
        <v>35</v>
      </c>
      <c r="D400" s="1" t="s">
        <v>16</v>
      </c>
      <c r="E400" s="1" t="s">
        <v>8</v>
      </c>
      <c r="F400" s="1" t="s">
        <v>9</v>
      </c>
    </row>
    <row r="401" spans="1:6">
      <c r="A401">
        <v>1400</v>
      </c>
      <c r="B401" s="1" t="s">
        <v>10</v>
      </c>
      <c r="C401">
        <v>63</v>
      </c>
      <c r="D401" s="1" t="s">
        <v>11</v>
      </c>
      <c r="E401" s="1" t="s">
        <v>8</v>
      </c>
      <c r="F401" s="1" t="s">
        <v>9</v>
      </c>
    </row>
    <row r="402" spans="1:6">
      <c r="A402">
        <v>1401</v>
      </c>
      <c r="B402" s="1" t="s">
        <v>6</v>
      </c>
      <c r="C402">
        <v>64</v>
      </c>
      <c r="D402" s="1" t="s">
        <v>7</v>
      </c>
      <c r="E402" s="1" t="s">
        <v>12</v>
      </c>
      <c r="F402" s="1" t="s">
        <v>17</v>
      </c>
    </row>
    <row r="403" spans="1:6">
      <c r="A403">
        <v>1402</v>
      </c>
      <c r="B403" s="1" t="s">
        <v>10</v>
      </c>
      <c r="C403">
        <v>48</v>
      </c>
      <c r="D403" s="1" t="s">
        <v>11</v>
      </c>
      <c r="E403" s="1" t="s">
        <v>12</v>
      </c>
      <c r="F403" s="1" t="s">
        <v>9</v>
      </c>
    </row>
    <row r="404" spans="1:6">
      <c r="A404">
        <v>1403</v>
      </c>
      <c r="B404" s="1" t="s">
        <v>6</v>
      </c>
      <c r="C404">
        <v>55</v>
      </c>
      <c r="D404" s="1" t="s">
        <v>16</v>
      </c>
      <c r="E404" s="1" t="s">
        <v>12</v>
      </c>
      <c r="F404" s="1" t="s">
        <v>17</v>
      </c>
    </row>
    <row r="405" spans="1:6">
      <c r="A405">
        <v>1404</v>
      </c>
      <c r="B405" s="1" t="s">
        <v>10</v>
      </c>
      <c r="C405">
        <v>49</v>
      </c>
      <c r="D405" s="1" t="s">
        <v>18</v>
      </c>
      <c r="E405" s="1" t="s">
        <v>8</v>
      </c>
      <c r="F405" s="1" t="s">
        <v>9</v>
      </c>
    </row>
    <row r="406" spans="1:6">
      <c r="A406">
        <v>1405</v>
      </c>
      <c r="B406" s="1" t="s">
        <v>6</v>
      </c>
      <c r="C406">
        <v>28</v>
      </c>
      <c r="D406" s="1" t="s">
        <v>16</v>
      </c>
      <c r="E406" s="1" t="s">
        <v>8</v>
      </c>
      <c r="F406" s="1" t="s">
        <v>9</v>
      </c>
    </row>
    <row r="407" spans="1:6">
      <c r="A407">
        <v>1406</v>
      </c>
      <c r="B407" s="1" t="s">
        <v>10</v>
      </c>
      <c r="C407">
        <v>62</v>
      </c>
      <c r="D407" s="1" t="s">
        <v>16</v>
      </c>
      <c r="E407" s="1" t="s">
        <v>19</v>
      </c>
      <c r="F407" s="1" t="s">
        <v>20</v>
      </c>
    </row>
    <row r="408" spans="1:6">
      <c r="A408">
        <v>1407</v>
      </c>
      <c r="B408" s="1" t="s">
        <v>6</v>
      </c>
      <c r="C408">
        <v>42</v>
      </c>
      <c r="D408" s="1" t="s">
        <v>16</v>
      </c>
      <c r="E408" s="1" t="s">
        <v>8</v>
      </c>
      <c r="F408" s="1" t="s">
        <v>14</v>
      </c>
    </row>
    <row r="409" spans="1:6">
      <c r="A409">
        <v>1408</v>
      </c>
      <c r="B409" s="1" t="s">
        <v>6</v>
      </c>
      <c r="C409">
        <v>50</v>
      </c>
      <c r="D409" s="1" t="s">
        <v>16</v>
      </c>
      <c r="E409" s="1" t="s">
        <v>12</v>
      </c>
      <c r="F409" s="1" t="s">
        <v>17</v>
      </c>
    </row>
    <row r="410" spans="1:6">
      <c r="A410">
        <v>1409</v>
      </c>
      <c r="B410" s="1" t="s">
        <v>10</v>
      </c>
      <c r="C410">
        <v>55</v>
      </c>
      <c r="D410" s="1" t="s">
        <v>18</v>
      </c>
      <c r="E410" s="1" t="s">
        <v>12</v>
      </c>
      <c r="F410" s="1" t="s">
        <v>15</v>
      </c>
    </row>
    <row r="411" spans="1:6">
      <c r="A411">
        <v>1410</v>
      </c>
      <c r="B411" s="1" t="s">
        <v>6</v>
      </c>
      <c r="C411">
        <v>58</v>
      </c>
      <c r="D411" s="1" t="s">
        <v>11</v>
      </c>
      <c r="E411" s="1" t="s">
        <v>12</v>
      </c>
      <c r="F411" s="1" t="s">
        <v>14</v>
      </c>
    </row>
    <row r="412" spans="1:6">
      <c r="A412">
        <v>1411</v>
      </c>
      <c r="B412" s="1" t="s">
        <v>6</v>
      </c>
      <c r="C412">
        <v>25</v>
      </c>
      <c r="D412" s="1" t="s">
        <v>16</v>
      </c>
      <c r="E412" s="1" t="s">
        <v>8</v>
      </c>
      <c r="F412" s="1" t="s">
        <v>14</v>
      </c>
    </row>
    <row r="413" spans="1:6">
      <c r="A413">
        <v>1412</v>
      </c>
      <c r="B413" s="1" t="s">
        <v>10</v>
      </c>
      <c r="C413">
        <v>28</v>
      </c>
      <c r="D413" s="1" t="s">
        <v>7</v>
      </c>
      <c r="E413" s="1" t="s">
        <v>8</v>
      </c>
      <c r="F413" s="1" t="s">
        <v>14</v>
      </c>
    </row>
    <row r="414" spans="1:6">
      <c r="A414">
        <v>1413</v>
      </c>
      <c r="B414" s="1" t="s">
        <v>10</v>
      </c>
      <c r="C414">
        <v>39</v>
      </c>
      <c r="D414" s="1" t="s">
        <v>7</v>
      </c>
      <c r="E414" s="1" t="s">
        <v>12</v>
      </c>
      <c r="F414" s="1" t="s">
        <v>14</v>
      </c>
    </row>
    <row r="415" spans="1:6">
      <c r="A415">
        <v>1414</v>
      </c>
      <c r="B415" s="1" t="s">
        <v>10</v>
      </c>
      <c r="C415">
        <v>41</v>
      </c>
      <c r="D415" s="1" t="s">
        <v>7</v>
      </c>
      <c r="E415" s="1" t="s">
        <v>19</v>
      </c>
      <c r="F415" s="1" t="s">
        <v>14</v>
      </c>
    </row>
    <row r="416" spans="1:6">
      <c r="A416">
        <v>1415</v>
      </c>
      <c r="B416" s="1" t="s">
        <v>10</v>
      </c>
      <c r="C416">
        <v>58</v>
      </c>
      <c r="D416" s="1" t="s">
        <v>16</v>
      </c>
      <c r="E416" s="1" t="s">
        <v>19</v>
      </c>
      <c r="F416" s="1" t="s">
        <v>15</v>
      </c>
    </row>
    <row r="417" spans="1:6">
      <c r="A417">
        <v>1416</v>
      </c>
      <c r="B417" s="1" t="s">
        <v>6</v>
      </c>
      <c r="C417">
        <v>34</v>
      </c>
      <c r="D417" s="1" t="s">
        <v>11</v>
      </c>
      <c r="E417" s="1" t="s">
        <v>8</v>
      </c>
      <c r="F417" s="1" t="s">
        <v>9</v>
      </c>
    </row>
    <row r="418" spans="1:6">
      <c r="A418">
        <v>1417</v>
      </c>
      <c r="B418" s="1" t="s">
        <v>6</v>
      </c>
      <c r="C418">
        <v>29</v>
      </c>
      <c r="D418" s="1" t="s">
        <v>13</v>
      </c>
      <c r="E418" s="1" t="s">
        <v>8</v>
      </c>
      <c r="F418" s="1" t="s">
        <v>17</v>
      </c>
    </row>
    <row r="419" spans="1:6">
      <c r="A419">
        <v>1418</v>
      </c>
      <c r="B419" s="1" t="s">
        <v>6</v>
      </c>
      <c r="C419">
        <v>63</v>
      </c>
      <c r="D419" s="1" t="s">
        <v>18</v>
      </c>
      <c r="E419" s="1" t="s">
        <v>19</v>
      </c>
      <c r="F419" s="1" t="s">
        <v>9</v>
      </c>
    </row>
    <row r="420" spans="1:6">
      <c r="A420">
        <v>1419</v>
      </c>
      <c r="B420" s="1" t="s">
        <v>10</v>
      </c>
      <c r="C420">
        <v>49</v>
      </c>
      <c r="D420" s="1" t="s">
        <v>16</v>
      </c>
      <c r="E420" s="1" t="s">
        <v>12</v>
      </c>
      <c r="F420" s="1" t="s">
        <v>14</v>
      </c>
    </row>
    <row r="421" spans="1:6">
      <c r="A421">
        <v>1420</v>
      </c>
      <c r="B421" s="1" t="s">
        <v>10</v>
      </c>
      <c r="C421">
        <v>32</v>
      </c>
      <c r="D421" s="1" t="s">
        <v>16</v>
      </c>
      <c r="E421" s="1" t="s">
        <v>19</v>
      </c>
      <c r="F421" s="1" t="s">
        <v>9</v>
      </c>
    </row>
    <row r="422" spans="1:6">
      <c r="A422">
        <v>1421</v>
      </c>
      <c r="B422" s="1" t="s">
        <v>10</v>
      </c>
      <c r="C422">
        <v>33</v>
      </c>
      <c r="D422" s="1" t="s">
        <v>11</v>
      </c>
      <c r="E422" s="1" t="s">
        <v>8</v>
      </c>
      <c r="F422" s="1" t="s">
        <v>14</v>
      </c>
    </row>
    <row r="423" spans="1:6">
      <c r="A423">
        <v>1422</v>
      </c>
      <c r="B423" s="1" t="s">
        <v>10</v>
      </c>
      <c r="C423">
        <v>39</v>
      </c>
      <c r="D423" s="1" t="s">
        <v>7</v>
      </c>
      <c r="E423" s="1" t="s">
        <v>12</v>
      </c>
      <c r="F423" s="1" t="s">
        <v>14</v>
      </c>
    </row>
    <row r="424" spans="1:6">
      <c r="A424">
        <v>1423</v>
      </c>
      <c r="B424" s="1" t="s">
        <v>6</v>
      </c>
      <c r="C424">
        <v>45</v>
      </c>
      <c r="D424" s="1" t="s">
        <v>11</v>
      </c>
      <c r="E424" s="1" t="s">
        <v>12</v>
      </c>
      <c r="F424" s="1" t="s">
        <v>9</v>
      </c>
    </row>
    <row r="425" spans="1:6">
      <c r="A425">
        <v>1424</v>
      </c>
      <c r="B425" s="1" t="s">
        <v>6</v>
      </c>
      <c r="C425">
        <v>37</v>
      </c>
      <c r="D425" s="1" t="s">
        <v>11</v>
      </c>
      <c r="E425" s="1" t="s">
        <v>12</v>
      </c>
      <c r="F425" s="1" t="s">
        <v>9</v>
      </c>
    </row>
    <row r="426" spans="1:6">
      <c r="A426">
        <v>1425</v>
      </c>
      <c r="B426" s="1" t="s">
        <v>6</v>
      </c>
      <c r="C426">
        <v>50</v>
      </c>
      <c r="D426" s="1" t="s">
        <v>16</v>
      </c>
      <c r="E426" s="1" t="s">
        <v>8</v>
      </c>
      <c r="F426" s="1" t="s">
        <v>9</v>
      </c>
    </row>
    <row r="427" spans="1:6">
      <c r="A427">
        <v>1426</v>
      </c>
      <c r="B427" s="1" t="s">
        <v>10</v>
      </c>
      <c r="C427">
        <v>27</v>
      </c>
      <c r="D427" s="1" t="s">
        <v>18</v>
      </c>
      <c r="E427" s="1" t="s">
        <v>8</v>
      </c>
      <c r="F427" s="1" t="s">
        <v>14</v>
      </c>
    </row>
    <row r="428" spans="1:6">
      <c r="A428">
        <v>1427</v>
      </c>
      <c r="B428" s="1" t="s">
        <v>6</v>
      </c>
      <c r="C428">
        <v>57</v>
      </c>
      <c r="D428" s="1" t="s">
        <v>7</v>
      </c>
      <c r="E428" s="1" t="s">
        <v>12</v>
      </c>
      <c r="F428" s="1" t="s">
        <v>17</v>
      </c>
    </row>
    <row r="429" spans="1:6">
      <c r="A429">
        <v>1428</v>
      </c>
      <c r="B429" s="1" t="s">
        <v>10</v>
      </c>
      <c r="C429">
        <v>49</v>
      </c>
      <c r="D429" s="1" t="s">
        <v>16</v>
      </c>
      <c r="E429" s="1" t="s">
        <v>8</v>
      </c>
      <c r="F429" s="1" t="s">
        <v>9</v>
      </c>
    </row>
    <row r="430" spans="1:6">
      <c r="A430">
        <v>1429</v>
      </c>
      <c r="B430" s="1" t="s">
        <v>6</v>
      </c>
      <c r="C430">
        <v>50</v>
      </c>
      <c r="D430" s="1" t="s">
        <v>18</v>
      </c>
      <c r="E430" s="1" t="s">
        <v>8</v>
      </c>
      <c r="F430" s="1" t="s">
        <v>14</v>
      </c>
    </row>
    <row r="431" spans="1:6">
      <c r="A431">
        <v>1430</v>
      </c>
      <c r="B431" s="1" t="s">
        <v>6</v>
      </c>
      <c r="C431">
        <v>19</v>
      </c>
      <c r="D431" s="1" t="s">
        <v>13</v>
      </c>
      <c r="E431" s="1" t="s">
        <v>19</v>
      </c>
      <c r="F431" s="1" t="s">
        <v>15</v>
      </c>
    </row>
    <row r="432" spans="1:6">
      <c r="A432">
        <v>1431</v>
      </c>
      <c r="B432" s="1" t="s">
        <v>6</v>
      </c>
      <c r="C432">
        <v>50</v>
      </c>
      <c r="D432" s="1" t="s">
        <v>16</v>
      </c>
      <c r="E432" s="1" t="s">
        <v>8</v>
      </c>
      <c r="F432" s="1" t="s">
        <v>15</v>
      </c>
    </row>
    <row r="433" spans="1:6">
      <c r="A433">
        <v>1432</v>
      </c>
      <c r="B433" s="1" t="s">
        <v>10</v>
      </c>
      <c r="C433">
        <v>50</v>
      </c>
      <c r="D433" s="1" t="s">
        <v>11</v>
      </c>
      <c r="E433" s="1" t="s">
        <v>12</v>
      </c>
      <c r="F433" s="1" t="s">
        <v>20</v>
      </c>
    </row>
    <row r="434" spans="1:6">
      <c r="A434">
        <v>1433</v>
      </c>
      <c r="B434" s="1" t="s">
        <v>10</v>
      </c>
      <c r="C434">
        <v>58</v>
      </c>
      <c r="D434" s="1" t="s">
        <v>16</v>
      </c>
      <c r="E434" s="1" t="s">
        <v>8</v>
      </c>
      <c r="F434" s="1" t="s">
        <v>15</v>
      </c>
    </row>
    <row r="435" spans="1:6">
      <c r="A435">
        <v>1434</v>
      </c>
      <c r="B435" s="1" t="s">
        <v>6</v>
      </c>
      <c r="C435">
        <v>30</v>
      </c>
      <c r="D435" s="1" t="s">
        <v>18</v>
      </c>
      <c r="E435" s="1" t="s">
        <v>12</v>
      </c>
      <c r="F435" s="1" t="s">
        <v>15</v>
      </c>
    </row>
    <row r="436" spans="1:6">
      <c r="A436">
        <v>1435</v>
      </c>
      <c r="B436" s="1" t="s">
        <v>6</v>
      </c>
      <c r="C436">
        <v>47</v>
      </c>
      <c r="D436" s="1" t="s">
        <v>11</v>
      </c>
      <c r="E436" s="1" t="s">
        <v>19</v>
      </c>
      <c r="F436" s="1" t="s">
        <v>9</v>
      </c>
    </row>
    <row r="437" spans="1:6">
      <c r="A437">
        <v>1436</v>
      </c>
      <c r="B437" s="1" t="s">
        <v>10</v>
      </c>
      <c r="C437">
        <v>50</v>
      </c>
      <c r="D437" s="1" t="s">
        <v>11</v>
      </c>
      <c r="E437" s="1" t="s">
        <v>8</v>
      </c>
      <c r="F437" s="1" t="s">
        <v>9</v>
      </c>
    </row>
    <row r="438" spans="1:6">
      <c r="A438">
        <v>1437</v>
      </c>
      <c r="B438" s="1" t="s">
        <v>6</v>
      </c>
      <c r="C438">
        <v>30</v>
      </c>
      <c r="D438" s="1" t="s">
        <v>18</v>
      </c>
      <c r="E438" s="1" t="s">
        <v>8</v>
      </c>
      <c r="F438" s="1" t="s">
        <v>9</v>
      </c>
    </row>
    <row r="439" spans="1:6">
      <c r="A439">
        <v>1438</v>
      </c>
      <c r="B439" s="1" t="s">
        <v>10</v>
      </c>
      <c r="C439">
        <v>43</v>
      </c>
      <c r="D439" s="1" t="s">
        <v>16</v>
      </c>
      <c r="E439" s="1" t="s">
        <v>8</v>
      </c>
      <c r="F439" s="1" t="s">
        <v>9</v>
      </c>
    </row>
    <row r="440" spans="1:6">
      <c r="A440">
        <v>1439</v>
      </c>
      <c r="B440" s="1" t="s">
        <v>10</v>
      </c>
      <c r="C440">
        <v>39</v>
      </c>
      <c r="D440" s="1" t="s">
        <v>7</v>
      </c>
      <c r="E440" s="1" t="s">
        <v>8</v>
      </c>
      <c r="F440" s="1" t="s">
        <v>14</v>
      </c>
    </row>
    <row r="441" spans="1:6">
      <c r="A441">
        <v>1440</v>
      </c>
      <c r="B441" s="1" t="s">
        <v>6</v>
      </c>
      <c r="C441">
        <v>56</v>
      </c>
      <c r="D441" s="1" t="s">
        <v>11</v>
      </c>
      <c r="E441" s="1" t="s">
        <v>12</v>
      </c>
      <c r="F441" s="1" t="s">
        <v>15</v>
      </c>
    </row>
    <row r="442" spans="1:6">
      <c r="A442">
        <v>1441</v>
      </c>
      <c r="B442" s="1" t="s">
        <v>6</v>
      </c>
      <c r="C442">
        <v>19</v>
      </c>
      <c r="D442" s="1" t="s">
        <v>16</v>
      </c>
      <c r="E442" s="1" t="s">
        <v>19</v>
      </c>
      <c r="F442" s="1" t="s">
        <v>15</v>
      </c>
    </row>
    <row r="443" spans="1:6">
      <c r="A443">
        <v>1442</v>
      </c>
      <c r="B443" s="1" t="s">
        <v>10</v>
      </c>
      <c r="C443">
        <v>55</v>
      </c>
      <c r="D443" s="1" t="s">
        <v>18</v>
      </c>
      <c r="E443" s="1" t="s">
        <v>8</v>
      </c>
      <c r="F443" s="1" t="s">
        <v>9</v>
      </c>
    </row>
    <row r="444" spans="1:6">
      <c r="A444">
        <v>1443</v>
      </c>
      <c r="B444" s="1" t="s">
        <v>6</v>
      </c>
      <c r="C444">
        <v>56</v>
      </c>
      <c r="D444" s="1" t="s">
        <v>18</v>
      </c>
      <c r="E444" s="1" t="s">
        <v>8</v>
      </c>
      <c r="F444" s="1" t="s">
        <v>9</v>
      </c>
    </row>
    <row r="445" spans="1:6">
      <c r="A445">
        <v>1444</v>
      </c>
      <c r="B445" s="1" t="s">
        <v>6</v>
      </c>
      <c r="C445">
        <v>43</v>
      </c>
      <c r="D445" s="1" t="s">
        <v>16</v>
      </c>
      <c r="E445" s="1" t="s">
        <v>8</v>
      </c>
      <c r="F445" s="1" t="s">
        <v>14</v>
      </c>
    </row>
    <row r="446" spans="1:6">
      <c r="A446">
        <v>1445</v>
      </c>
      <c r="B446" s="1" t="s">
        <v>10</v>
      </c>
      <c r="C446">
        <v>63</v>
      </c>
      <c r="D446" s="1" t="s">
        <v>7</v>
      </c>
      <c r="E446" s="1" t="s">
        <v>12</v>
      </c>
      <c r="F446" s="1" t="s">
        <v>20</v>
      </c>
    </row>
    <row r="447" spans="1:6">
      <c r="A447">
        <v>1446</v>
      </c>
      <c r="B447" s="1" t="s">
        <v>10</v>
      </c>
      <c r="C447">
        <v>32</v>
      </c>
      <c r="D447" s="1" t="s">
        <v>7</v>
      </c>
      <c r="E447" s="1" t="s">
        <v>8</v>
      </c>
      <c r="F447" s="1" t="s">
        <v>9</v>
      </c>
    </row>
    <row r="448" spans="1:6">
      <c r="A448">
        <v>1447</v>
      </c>
      <c r="B448" s="1" t="s">
        <v>10</v>
      </c>
      <c r="C448">
        <v>51</v>
      </c>
      <c r="D448" s="1" t="s">
        <v>16</v>
      </c>
      <c r="E448" s="1" t="s">
        <v>12</v>
      </c>
      <c r="F448" s="1" t="s">
        <v>17</v>
      </c>
    </row>
    <row r="449" spans="1:6">
      <c r="A449">
        <v>1448</v>
      </c>
      <c r="B449" s="1" t="s">
        <v>10</v>
      </c>
      <c r="C449">
        <v>59</v>
      </c>
      <c r="D449" s="1" t="s">
        <v>13</v>
      </c>
      <c r="E449" s="1" t="s">
        <v>12</v>
      </c>
      <c r="F449" s="1" t="s">
        <v>14</v>
      </c>
    </row>
    <row r="450" spans="1:6">
      <c r="A450">
        <v>1449</v>
      </c>
      <c r="B450" s="1" t="s">
        <v>6</v>
      </c>
      <c r="C450">
        <v>61</v>
      </c>
      <c r="D450" s="1" t="s">
        <v>16</v>
      </c>
      <c r="E450" s="1" t="s">
        <v>12</v>
      </c>
      <c r="F450" s="1" t="s">
        <v>14</v>
      </c>
    </row>
    <row r="451" spans="1:6">
      <c r="A451">
        <v>1450</v>
      </c>
      <c r="B451" s="1" t="s">
        <v>6</v>
      </c>
      <c r="C451">
        <v>57</v>
      </c>
      <c r="D451" s="1" t="s">
        <v>16</v>
      </c>
      <c r="E451" s="1" t="s">
        <v>8</v>
      </c>
      <c r="F451" s="1" t="s">
        <v>15</v>
      </c>
    </row>
    <row r="452" spans="1:6">
      <c r="A452">
        <v>1451</v>
      </c>
      <c r="B452" s="1" t="s">
        <v>10</v>
      </c>
      <c r="C452">
        <v>28</v>
      </c>
      <c r="D452" s="1" t="s">
        <v>16</v>
      </c>
      <c r="E452" s="1" t="s">
        <v>12</v>
      </c>
      <c r="F452" s="1" t="s">
        <v>9</v>
      </c>
    </row>
    <row r="453" spans="1:6">
      <c r="A453">
        <v>1452</v>
      </c>
      <c r="B453" s="1" t="s">
        <v>10</v>
      </c>
      <c r="C453">
        <v>20</v>
      </c>
      <c r="D453" s="1" t="s">
        <v>7</v>
      </c>
      <c r="E453" s="1" t="s">
        <v>8</v>
      </c>
      <c r="F453" s="1" t="s">
        <v>9</v>
      </c>
    </row>
    <row r="454" spans="1:6">
      <c r="A454">
        <v>1453</v>
      </c>
      <c r="B454" s="1" t="s">
        <v>6</v>
      </c>
      <c r="C454">
        <v>23</v>
      </c>
      <c r="D454" s="1" t="s">
        <v>18</v>
      </c>
      <c r="E454" s="1" t="s">
        <v>8</v>
      </c>
      <c r="F454" s="1" t="s">
        <v>14</v>
      </c>
    </row>
    <row r="455" spans="1:6">
      <c r="A455">
        <v>1454</v>
      </c>
      <c r="B455" s="1" t="s">
        <v>10</v>
      </c>
      <c r="C455">
        <v>26</v>
      </c>
      <c r="D455" s="1" t="s">
        <v>16</v>
      </c>
      <c r="E455" s="1" t="s">
        <v>19</v>
      </c>
      <c r="F455" s="1" t="s">
        <v>15</v>
      </c>
    </row>
    <row r="456" spans="1:6">
      <c r="A456">
        <v>1455</v>
      </c>
      <c r="B456" s="1" t="s">
        <v>6</v>
      </c>
      <c r="C456">
        <v>23</v>
      </c>
      <c r="D456" s="1" t="s">
        <v>11</v>
      </c>
      <c r="E456" s="1" t="s">
        <v>12</v>
      </c>
      <c r="F456" s="1" t="s">
        <v>20</v>
      </c>
    </row>
    <row r="457" spans="1:6">
      <c r="A457">
        <v>1456</v>
      </c>
      <c r="B457" s="1" t="s">
        <v>6</v>
      </c>
      <c r="C457">
        <v>26</v>
      </c>
      <c r="D457" s="1" t="s">
        <v>11</v>
      </c>
      <c r="E457" s="1" t="s">
        <v>8</v>
      </c>
      <c r="F457" s="1" t="s">
        <v>15</v>
      </c>
    </row>
    <row r="458" spans="1:6">
      <c r="A458">
        <v>1457</v>
      </c>
      <c r="B458" s="1" t="s">
        <v>6</v>
      </c>
      <c r="C458">
        <v>56</v>
      </c>
      <c r="D458" s="1" t="s">
        <v>16</v>
      </c>
      <c r="E458" s="1" t="s">
        <v>8</v>
      </c>
      <c r="F458" s="1" t="s">
        <v>9</v>
      </c>
    </row>
    <row r="459" spans="1:6">
      <c r="A459">
        <v>1458</v>
      </c>
      <c r="B459" s="1" t="s">
        <v>6</v>
      </c>
      <c r="C459">
        <v>48</v>
      </c>
      <c r="D459" s="1" t="s">
        <v>7</v>
      </c>
      <c r="E459" s="1" t="s">
        <v>8</v>
      </c>
      <c r="F459" s="1" t="s">
        <v>14</v>
      </c>
    </row>
    <row r="460" spans="1:6">
      <c r="A460">
        <v>1459</v>
      </c>
      <c r="B460" s="1" t="s">
        <v>6</v>
      </c>
      <c r="C460">
        <v>49</v>
      </c>
      <c r="D460" s="1" t="s">
        <v>7</v>
      </c>
      <c r="E460" s="1" t="s">
        <v>8</v>
      </c>
      <c r="F460" s="1" t="s">
        <v>9</v>
      </c>
    </row>
    <row r="461" spans="1:6">
      <c r="A461">
        <v>1460</v>
      </c>
      <c r="B461" s="1" t="s">
        <v>6</v>
      </c>
      <c r="C461">
        <v>58</v>
      </c>
      <c r="D461" s="1" t="s">
        <v>11</v>
      </c>
      <c r="E461" s="1" t="s">
        <v>8</v>
      </c>
      <c r="F461" s="1" t="s">
        <v>15</v>
      </c>
    </row>
    <row r="462" spans="1:6">
      <c r="A462">
        <v>1461</v>
      </c>
      <c r="B462" s="1" t="s">
        <v>6</v>
      </c>
      <c r="C462">
        <v>29</v>
      </c>
      <c r="D462" s="1" t="s">
        <v>13</v>
      </c>
      <c r="E462" s="1" t="s">
        <v>8</v>
      </c>
      <c r="F462" s="1" t="s">
        <v>14</v>
      </c>
    </row>
    <row r="463" spans="1:6">
      <c r="A463">
        <v>1462</v>
      </c>
      <c r="B463" s="1" t="s">
        <v>10</v>
      </c>
      <c r="C463">
        <v>25</v>
      </c>
      <c r="D463" s="1" t="s">
        <v>11</v>
      </c>
      <c r="E463" s="1" t="s">
        <v>8</v>
      </c>
      <c r="F463" s="1" t="s">
        <v>20</v>
      </c>
    </row>
    <row r="464" spans="1:6">
      <c r="A464">
        <v>1463</v>
      </c>
      <c r="B464" s="1" t="s">
        <v>10</v>
      </c>
      <c r="C464">
        <v>25</v>
      </c>
      <c r="D464" s="1" t="s">
        <v>13</v>
      </c>
      <c r="E464" s="1" t="s">
        <v>12</v>
      </c>
      <c r="F464" s="1" t="s">
        <v>17</v>
      </c>
    </row>
    <row r="465" spans="1:6">
      <c r="A465">
        <v>1464</v>
      </c>
      <c r="B465" s="1" t="s">
        <v>10</v>
      </c>
      <c r="C465">
        <v>45</v>
      </c>
      <c r="D465" s="1" t="s">
        <v>18</v>
      </c>
      <c r="E465" s="1" t="s">
        <v>12</v>
      </c>
      <c r="F465" s="1" t="s">
        <v>14</v>
      </c>
    </row>
    <row r="466" spans="1:6">
      <c r="A466">
        <v>1465</v>
      </c>
      <c r="B466" s="1" t="s">
        <v>10</v>
      </c>
      <c r="C466">
        <v>37</v>
      </c>
      <c r="D466" s="1" t="s">
        <v>11</v>
      </c>
      <c r="E466" s="1" t="s">
        <v>12</v>
      </c>
      <c r="F466" s="1" t="s">
        <v>14</v>
      </c>
    </row>
    <row r="467" spans="1:6">
      <c r="A467">
        <v>1466</v>
      </c>
      <c r="B467" s="1" t="s">
        <v>6</v>
      </c>
      <c r="C467">
        <v>64</v>
      </c>
      <c r="D467" s="1" t="s">
        <v>16</v>
      </c>
      <c r="E467" s="1" t="s">
        <v>8</v>
      </c>
      <c r="F467" s="1" t="s">
        <v>20</v>
      </c>
    </row>
    <row r="468" spans="1:6">
      <c r="A468">
        <v>1467</v>
      </c>
      <c r="B468" s="1" t="s">
        <v>6</v>
      </c>
      <c r="C468">
        <v>24</v>
      </c>
      <c r="D468" s="1" t="s">
        <v>7</v>
      </c>
      <c r="E468" s="1" t="s">
        <v>19</v>
      </c>
      <c r="F468" s="1" t="s">
        <v>9</v>
      </c>
    </row>
    <row r="469" spans="1:6">
      <c r="A469">
        <v>1468</v>
      </c>
      <c r="B469" s="1" t="s">
        <v>10</v>
      </c>
      <c r="C469">
        <v>28</v>
      </c>
      <c r="D469" s="1" t="s">
        <v>11</v>
      </c>
      <c r="E469" s="1" t="s">
        <v>12</v>
      </c>
      <c r="F469" s="1" t="s">
        <v>9</v>
      </c>
    </row>
    <row r="470" spans="1:6">
      <c r="A470">
        <v>1469</v>
      </c>
      <c r="B470" s="1" t="s">
        <v>6</v>
      </c>
      <c r="C470">
        <v>37</v>
      </c>
      <c r="D470" s="1" t="s">
        <v>16</v>
      </c>
      <c r="E470" s="1" t="s">
        <v>12</v>
      </c>
      <c r="F470" s="1" t="s">
        <v>9</v>
      </c>
    </row>
    <row r="471" spans="1:6">
      <c r="A471">
        <v>1470</v>
      </c>
      <c r="B471" s="1" t="s">
        <v>10</v>
      </c>
      <c r="C471">
        <v>33</v>
      </c>
      <c r="D471" s="1" t="s">
        <v>16</v>
      </c>
      <c r="E471" s="1" t="s">
        <v>12</v>
      </c>
      <c r="F471" s="1" t="s">
        <v>9</v>
      </c>
    </row>
    <row r="472" spans="1:6">
      <c r="A472">
        <v>1471</v>
      </c>
      <c r="B472" s="1" t="s">
        <v>6</v>
      </c>
      <c r="C472">
        <v>21</v>
      </c>
      <c r="D472" s="1" t="s">
        <v>11</v>
      </c>
      <c r="E472" s="1" t="s">
        <v>19</v>
      </c>
      <c r="F472" s="1" t="s">
        <v>14</v>
      </c>
    </row>
    <row r="473" spans="1:6">
      <c r="A473">
        <v>1472</v>
      </c>
      <c r="B473" s="1" t="s">
        <v>10</v>
      </c>
      <c r="C473">
        <v>23</v>
      </c>
      <c r="D473" s="1" t="s">
        <v>11</v>
      </c>
      <c r="E473" s="1" t="s">
        <v>12</v>
      </c>
      <c r="F473" s="1" t="s">
        <v>14</v>
      </c>
    </row>
    <row r="474" spans="1:6">
      <c r="A474">
        <v>1473</v>
      </c>
      <c r="B474" s="1" t="s">
        <v>6</v>
      </c>
      <c r="C474">
        <v>39</v>
      </c>
      <c r="D474" s="1" t="s">
        <v>18</v>
      </c>
      <c r="E474" s="1" t="s">
        <v>8</v>
      </c>
      <c r="F474" s="1" t="s">
        <v>14</v>
      </c>
    </row>
    <row r="475" spans="1:6">
      <c r="A475">
        <v>1474</v>
      </c>
      <c r="B475" s="1" t="s">
        <v>10</v>
      </c>
      <c r="C475">
        <v>43</v>
      </c>
      <c r="D475" s="1" t="s">
        <v>7</v>
      </c>
      <c r="E475" s="1" t="s">
        <v>12</v>
      </c>
      <c r="F475" s="1" t="s">
        <v>9</v>
      </c>
    </row>
    <row r="476" spans="1:6">
      <c r="A476">
        <v>1475</v>
      </c>
      <c r="B476" s="1" t="s">
        <v>10</v>
      </c>
      <c r="C476">
        <v>20</v>
      </c>
      <c r="D476" s="1" t="s">
        <v>16</v>
      </c>
      <c r="E476" s="1" t="s">
        <v>12</v>
      </c>
      <c r="F476" s="1" t="s">
        <v>14</v>
      </c>
    </row>
    <row r="477" spans="1:6">
      <c r="A477">
        <v>1476</v>
      </c>
      <c r="B477" s="1" t="s">
        <v>10</v>
      </c>
      <c r="C477">
        <v>58</v>
      </c>
      <c r="D477" s="1" t="s">
        <v>18</v>
      </c>
      <c r="E477" s="1" t="s">
        <v>12</v>
      </c>
      <c r="F477" s="1" t="s">
        <v>15</v>
      </c>
    </row>
    <row r="478" spans="1:6">
      <c r="A478">
        <v>1477</v>
      </c>
      <c r="B478" s="1" t="s">
        <v>6</v>
      </c>
      <c r="C478">
        <v>59</v>
      </c>
      <c r="D478" s="1" t="s">
        <v>16</v>
      </c>
      <c r="E478" s="1" t="s">
        <v>12</v>
      </c>
      <c r="F478" s="1" t="s">
        <v>14</v>
      </c>
    </row>
    <row r="479" spans="1:6">
      <c r="A479">
        <v>1478</v>
      </c>
      <c r="B479" s="1" t="s">
        <v>10</v>
      </c>
      <c r="C479">
        <v>31</v>
      </c>
      <c r="D479" s="1" t="s">
        <v>7</v>
      </c>
      <c r="E479" s="1" t="s">
        <v>8</v>
      </c>
      <c r="F479" s="1" t="s">
        <v>14</v>
      </c>
    </row>
    <row r="480" spans="1:6">
      <c r="A480">
        <v>1479</v>
      </c>
      <c r="B480" s="1" t="s">
        <v>10</v>
      </c>
      <c r="C480">
        <v>28</v>
      </c>
      <c r="D480" s="1" t="s">
        <v>7</v>
      </c>
      <c r="E480" s="1" t="s">
        <v>8</v>
      </c>
      <c r="F480" s="1" t="s">
        <v>15</v>
      </c>
    </row>
    <row r="481" spans="1:6">
      <c r="A481">
        <v>1480</v>
      </c>
      <c r="B481" s="1" t="s">
        <v>10</v>
      </c>
      <c r="C481">
        <v>35</v>
      </c>
      <c r="D481" s="1" t="s">
        <v>11</v>
      </c>
      <c r="E481" s="1" t="s">
        <v>19</v>
      </c>
      <c r="F481" s="1" t="s">
        <v>9</v>
      </c>
    </row>
    <row r="482" spans="1:6">
      <c r="A482">
        <v>1481</v>
      </c>
      <c r="B482" s="1" t="s">
        <v>10</v>
      </c>
      <c r="C482">
        <v>29</v>
      </c>
      <c r="D482" s="1" t="s">
        <v>18</v>
      </c>
      <c r="E482" s="1" t="s">
        <v>12</v>
      </c>
      <c r="F482" s="1" t="s">
        <v>9</v>
      </c>
    </row>
    <row r="483" spans="1:6">
      <c r="A483">
        <v>1482</v>
      </c>
      <c r="B483" s="1" t="s">
        <v>10</v>
      </c>
      <c r="C483">
        <v>40</v>
      </c>
      <c r="D483" s="1" t="s">
        <v>16</v>
      </c>
      <c r="E483" s="1" t="s">
        <v>12</v>
      </c>
      <c r="F483" s="1" t="s">
        <v>17</v>
      </c>
    </row>
    <row r="484" spans="1:6">
      <c r="A484">
        <v>1483</v>
      </c>
      <c r="B484" s="1" t="s">
        <v>6</v>
      </c>
      <c r="C484">
        <v>29</v>
      </c>
      <c r="D484" s="1" t="s">
        <v>11</v>
      </c>
      <c r="E484" s="1" t="s">
        <v>8</v>
      </c>
      <c r="F484" s="1" t="s">
        <v>20</v>
      </c>
    </row>
    <row r="485" spans="1:6">
      <c r="A485">
        <v>1484</v>
      </c>
      <c r="B485" s="1" t="s">
        <v>10</v>
      </c>
      <c r="C485">
        <v>30</v>
      </c>
      <c r="D485" s="1" t="s">
        <v>7</v>
      </c>
      <c r="E485" s="1" t="s">
        <v>8</v>
      </c>
      <c r="F485" s="1" t="s">
        <v>14</v>
      </c>
    </row>
    <row r="486" spans="1:6">
      <c r="A486">
        <v>1485</v>
      </c>
      <c r="B486" s="1" t="s">
        <v>10</v>
      </c>
      <c r="C486">
        <v>42</v>
      </c>
      <c r="D486" s="1" t="s">
        <v>11</v>
      </c>
      <c r="E486" s="1" t="s">
        <v>19</v>
      </c>
      <c r="F486" s="1" t="s">
        <v>9</v>
      </c>
    </row>
    <row r="487" spans="1:6">
      <c r="A487">
        <v>1486</v>
      </c>
      <c r="B487" s="1" t="s">
        <v>10</v>
      </c>
      <c r="C487">
        <v>62</v>
      </c>
      <c r="D487" s="1" t="s">
        <v>16</v>
      </c>
      <c r="E487" s="1" t="s">
        <v>12</v>
      </c>
      <c r="F487" s="1" t="s">
        <v>15</v>
      </c>
    </row>
    <row r="488" spans="1:6">
      <c r="A488">
        <v>1487</v>
      </c>
      <c r="B488" s="1" t="s">
        <v>6</v>
      </c>
      <c r="C488">
        <v>36</v>
      </c>
      <c r="D488" s="1" t="s">
        <v>11</v>
      </c>
      <c r="E488" s="1" t="s">
        <v>12</v>
      </c>
      <c r="F488" s="1" t="s">
        <v>14</v>
      </c>
    </row>
    <row r="489" spans="1:6">
      <c r="A489">
        <v>1488</v>
      </c>
      <c r="B489" s="1" t="s">
        <v>6</v>
      </c>
      <c r="C489">
        <v>63</v>
      </c>
      <c r="D489" s="1" t="s">
        <v>7</v>
      </c>
      <c r="E489" s="1" t="s">
        <v>8</v>
      </c>
      <c r="F489" s="1" t="s">
        <v>17</v>
      </c>
    </row>
    <row r="490" spans="1:6">
      <c r="A490">
        <v>1489</v>
      </c>
      <c r="B490" s="1" t="s">
        <v>10</v>
      </c>
      <c r="C490">
        <v>53</v>
      </c>
      <c r="D490" s="1" t="s">
        <v>16</v>
      </c>
      <c r="E490" s="1" t="s">
        <v>12</v>
      </c>
      <c r="F490" s="1" t="s">
        <v>9</v>
      </c>
    </row>
    <row r="491" spans="1:6">
      <c r="A491">
        <v>1490</v>
      </c>
      <c r="B491" s="1" t="s">
        <v>10</v>
      </c>
      <c r="C491">
        <v>62</v>
      </c>
      <c r="D491" s="1" t="s">
        <v>16</v>
      </c>
      <c r="E491" s="1" t="s">
        <v>8</v>
      </c>
      <c r="F491" s="1" t="s">
        <v>9</v>
      </c>
    </row>
    <row r="492" spans="1:6">
      <c r="A492">
        <v>1491</v>
      </c>
      <c r="B492" s="1" t="s">
        <v>6</v>
      </c>
      <c r="C492">
        <v>25</v>
      </c>
      <c r="D492" s="1" t="s">
        <v>18</v>
      </c>
      <c r="E492" s="1" t="s">
        <v>12</v>
      </c>
      <c r="F492" s="1" t="s">
        <v>14</v>
      </c>
    </row>
    <row r="493" spans="1:6">
      <c r="A493">
        <v>1492</v>
      </c>
      <c r="B493" s="1" t="s">
        <v>10</v>
      </c>
      <c r="C493">
        <v>46</v>
      </c>
      <c r="D493" s="1" t="s">
        <v>7</v>
      </c>
      <c r="E493" s="1" t="s">
        <v>8</v>
      </c>
      <c r="F493" s="1" t="s">
        <v>15</v>
      </c>
    </row>
    <row r="494" spans="1:6">
      <c r="A494">
        <v>1493</v>
      </c>
      <c r="B494" s="1" t="s">
        <v>6</v>
      </c>
      <c r="C494">
        <v>49</v>
      </c>
      <c r="D494" s="1" t="s">
        <v>16</v>
      </c>
      <c r="E494" s="1" t="s">
        <v>8</v>
      </c>
      <c r="F494" s="1" t="s">
        <v>9</v>
      </c>
    </row>
    <row r="495" spans="1:6">
      <c r="A495">
        <v>1494</v>
      </c>
      <c r="B495" s="1" t="s">
        <v>6</v>
      </c>
      <c r="C495">
        <v>61</v>
      </c>
      <c r="D495" s="1" t="s">
        <v>16</v>
      </c>
      <c r="E495" s="1" t="s">
        <v>12</v>
      </c>
      <c r="F495" s="1" t="s">
        <v>9</v>
      </c>
    </row>
    <row r="496" spans="1:6">
      <c r="A496">
        <v>1495</v>
      </c>
      <c r="B496" s="1" t="s">
        <v>6</v>
      </c>
      <c r="C496">
        <v>35</v>
      </c>
      <c r="D496" s="1" t="s">
        <v>16</v>
      </c>
      <c r="E496" s="1" t="s">
        <v>19</v>
      </c>
      <c r="F496" s="1" t="s">
        <v>15</v>
      </c>
    </row>
    <row r="497" spans="1:6">
      <c r="A497">
        <v>1496</v>
      </c>
      <c r="B497" s="1" t="s">
        <v>6</v>
      </c>
      <c r="C497">
        <v>23</v>
      </c>
      <c r="D497" s="1" t="s">
        <v>16</v>
      </c>
      <c r="E497" s="1" t="s">
        <v>8</v>
      </c>
      <c r="F497" s="1" t="s">
        <v>17</v>
      </c>
    </row>
    <row r="498" spans="1:6">
      <c r="A498">
        <v>1497</v>
      </c>
      <c r="B498" s="1" t="s">
        <v>10</v>
      </c>
      <c r="C498">
        <v>35</v>
      </c>
      <c r="D498" s="1" t="s">
        <v>11</v>
      </c>
      <c r="E498" s="1" t="s">
        <v>12</v>
      </c>
      <c r="F498" s="1" t="s">
        <v>20</v>
      </c>
    </row>
    <row r="499" spans="1:6">
      <c r="A499">
        <v>1498</v>
      </c>
      <c r="B499" s="1" t="s">
        <v>6</v>
      </c>
      <c r="C499">
        <v>36</v>
      </c>
      <c r="D499" s="1" t="s">
        <v>18</v>
      </c>
      <c r="E499" s="1" t="s">
        <v>8</v>
      </c>
      <c r="F499" s="1" t="s">
        <v>14</v>
      </c>
    </row>
    <row r="500" spans="1:6">
      <c r="A500">
        <v>1499</v>
      </c>
      <c r="B500" s="1" t="s">
        <v>10</v>
      </c>
      <c r="C500">
        <v>39</v>
      </c>
      <c r="D500" s="1" t="s">
        <v>18</v>
      </c>
      <c r="E500" s="1" t="s">
        <v>8</v>
      </c>
      <c r="F500" s="1" t="s">
        <v>15</v>
      </c>
    </row>
    <row r="501" spans="1:6">
      <c r="A501">
        <v>1500</v>
      </c>
      <c r="B501" s="1" t="s">
        <v>10</v>
      </c>
      <c r="C501">
        <v>54</v>
      </c>
      <c r="D501" s="1" t="s">
        <v>11</v>
      </c>
      <c r="E501" s="1" t="s">
        <v>8</v>
      </c>
      <c r="F501" s="1" t="s">
        <v>9</v>
      </c>
    </row>
    <row r="502" spans="1:6">
      <c r="A502">
        <v>1501</v>
      </c>
      <c r="B502" s="1" t="s">
        <v>10</v>
      </c>
      <c r="C502">
        <v>49</v>
      </c>
      <c r="D502" s="1" t="s">
        <v>16</v>
      </c>
      <c r="E502" s="1" t="s">
        <v>8</v>
      </c>
      <c r="F502" s="1" t="s">
        <v>15</v>
      </c>
    </row>
    <row r="503" spans="1:6">
      <c r="A503">
        <v>1502</v>
      </c>
      <c r="B503" s="1" t="s">
        <v>10</v>
      </c>
      <c r="C503">
        <v>58</v>
      </c>
      <c r="D503" s="1" t="s">
        <v>7</v>
      </c>
      <c r="E503" s="1" t="s">
        <v>12</v>
      </c>
      <c r="F503" s="1" t="s">
        <v>15</v>
      </c>
    </row>
    <row r="504" spans="1:6">
      <c r="A504">
        <v>1503</v>
      </c>
      <c r="B504" s="1" t="s">
        <v>6</v>
      </c>
      <c r="C504">
        <v>20</v>
      </c>
      <c r="D504" s="1" t="s">
        <v>11</v>
      </c>
      <c r="E504" s="1" t="s">
        <v>8</v>
      </c>
      <c r="F504" s="1" t="s">
        <v>14</v>
      </c>
    </row>
    <row r="505" spans="1:6">
      <c r="A505">
        <v>1504</v>
      </c>
      <c r="B505" s="1" t="s">
        <v>10</v>
      </c>
      <c r="C505">
        <v>45</v>
      </c>
      <c r="D505" s="1" t="s">
        <v>13</v>
      </c>
      <c r="E505" s="1" t="s">
        <v>8</v>
      </c>
      <c r="F505" s="1" t="s">
        <v>15</v>
      </c>
    </row>
    <row r="506" spans="1:6">
      <c r="A506">
        <v>1505</v>
      </c>
      <c r="B506" s="1" t="s">
        <v>10</v>
      </c>
      <c r="C506">
        <v>27</v>
      </c>
      <c r="D506" s="1" t="s">
        <v>11</v>
      </c>
      <c r="E506" s="1" t="s">
        <v>19</v>
      </c>
      <c r="F506" s="1" t="s">
        <v>9</v>
      </c>
    </row>
    <row r="507" spans="1:6">
      <c r="A507">
        <v>1506</v>
      </c>
      <c r="B507" s="1" t="s">
        <v>6</v>
      </c>
      <c r="C507">
        <v>52</v>
      </c>
      <c r="D507" s="1" t="s">
        <v>16</v>
      </c>
      <c r="E507" s="1" t="s">
        <v>8</v>
      </c>
      <c r="F507" s="1" t="s">
        <v>9</v>
      </c>
    </row>
    <row r="508" spans="1:6">
      <c r="A508">
        <v>1507</v>
      </c>
      <c r="B508" s="1" t="s">
        <v>10</v>
      </c>
      <c r="C508">
        <v>46</v>
      </c>
      <c r="D508" s="1" t="s">
        <v>18</v>
      </c>
      <c r="E508" s="1" t="s">
        <v>12</v>
      </c>
      <c r="F508" s="1" t="s">
        <v>15</v>
      </c>
    </row>
    <row r="509" spans="1:6">
      <c r="A509">
        <v>1508</v>
      </c>
      <c r="B509" s="1" t="s">
        <v>10</v>
      </c>
      <c r="C509">
        <v>32</v>
      </c>
      <c r="D509" s="1" t="s">
        <v>16</v>
      </c>
      <c r="E509" s="1" t="s">
        <v>8</v>
      </c>
      <c r="F509" s="1" t="s">
        <v>9</v>
      </c>
    </row>
    <row r="510" spans="1:6">
      <c r="A510">
        <v>1509</v>
      </c>
      <c r="B510" s="1" t="s">
        <v>10</v>
      </c>
      <c r="C510">
        <v>50</v>
      </c>
      <c r="D510" s="1" t="s">
        <v>18</v>
      </c>
      <c r="E510" s="1" t="s">
        <v>12</v>
      </c>
      <c r="F510" s="1" t="s">
        <v>9</v>
      </c>
    </row>
    <row r="511" spans="1:6">
      <c r="A511">
        <v>1510</v>
      </c>
      <c r="B511" s="1" t="s">
        <v>10</v>
      </c>
      <c r="C511">
        <v>24</v>
      </c>
      <c r="D511" s="1" t="s">
        <v>16</v>
      </c>
      <c r="E511" s="1" t="s">
        <v>8</v>
      </c>
      <c r="F511" s="1" t="s">
        <v>20</v>
      </c>
    </row>
    <row r="512" spans="1:6">
      <c r="A512">
        <v>1511</v>
      </c>
      <c r="B512" s="1" t="s">
        <v>10</v>
      </c>
      <c r="C512">
        <v>29</v>
      </c>
      <c r="D512" s="1" t="s">
        <v>16</v>
      </c>
      <c r="E512" s="1" t="s">
        <v>8</v>
      </c>
      <c r="F512" s="1" t="s">
        <v>15</v>
      </c>
    </row>
    <row r="513" spans="1:6">
      <c r="A513">
        <v>1512</v>
      </c>
      <c r="B513" s="1" t="s">
        <v>6</v>
      </c>
      <c r="C513">
        <v>47</v>
      </c>
      <c r="D513" s="1" t="s">
        <v>7</v>
      </c>
      <c r="E513" s="1" t="s">
        <v>8</v>
      </c>
      <c r="F513" s="1" t="s">
        <v>15</v>
      </c>
    </row>
    <row r="514" spans="1:6">
      <c r="A514">
        <v>1513</v>
      </c>
      <c r="B514" s="1" t="s">
        <v>10</v>
      </c>
      <c r="C514">
        <v>38</v>
      </c>
      <c r="D514" s="1" t="s">
        <v>16</v>
      </c>
      <c r="E514" s="1" t="s">
        <v>8</v>
      </c>
      <c r="F514" s="1" t="s">
        <v>17</v>
      </c>
    </row>
    <row r="515" spans="1:6">
      <c r="A515">
        <v>1514</v>
      </c>
      <c r="B515" s="1" t="s">
        <v>10</v>
      </c>
      <c r="C515">
        <v>48</v>
      </c>
      <c r="D515" s="1" t="s">
        <v>7</v>
      </c>
      <c r="E515" s="1" t="s">
        <v>8</v>
      </c>
      <c r="F515" s="1" t="s">
        <v>20</v>
      </c>
    </row>
    <row r="516" spans="1:6">
      <c r="A516">
        <v>1515</v>
      </c>
      <c r="B516" s="1" t="s">
        <v>6</v>
      </c>
      <c r="C516">
        <v>41</v>
      </c>
      <c r="D516" s="1" t="s">
        <v>16</v>
      </c>
      <c r="E516" s="1" t="s">
        <v>12</v>
      </c>
      <c r="F516" s="1" t="s">
        <v>14</v>
      </c>
    </row>
    <row r="517" spans="1:6">
      <c r="A517">
        <v>1516</v>
      </c>
      <c r="B517" s="1" t="s">
        <v>6</v>
      </c>
      <c r="C517">
        <v>37</v>
      </c>
      <c r="D517" s="1" t="s">
        <v>11</v>
      </c>
      <c r="E517" s="1" t="s">
        <v>19</v>
      </c>
      <c r="F517" s="1" t="s">
        <v>17</v>
      </c>
    </row>
    <row r="518" spans="1:6">
      <c r="A518">
        <v>1517</v>
      </c>
      <c r="B518" s="1" t="s">
        <v>6</v>
      </c>
      <c r="C518">
        <v>54</v>
      </c>
      <c r="D518" s="1" t="s">
        <v>18</v>
      </c>
      <c r="E518" s="1" t="s">
        <v>12</v>
      </c>
      <c r="F518" s="1" t="s">
        <v>15</v>
      </c>
    </row>
    <row r="519" spans="1:6">
      <c r="A519">
        <v>1518</v>
      </c>
      <c r="B519" s="1" t="s">
        <v>10</v>
      </c>
      <c r="C519">
        <v>21</v>
      </c>
      <c r="D519" s="1" t="s">
        <v>11</v>
      </c>
      <c r="E519" s="1" t="s">
        <v>12</v>
      </c>
      <c r="F519" s="1" t="s">
        <v>15</v>
      </c>
    </row>
    <row r="520" spans="1:6">
      <c r="A520">
        <v>1519</v>
      </c>
      <c r="B520" s="1" t="s">
        <v>10</v>
      </c>
      <c r="C520">
        <v>45</v>
      </c>
      <c r="D520" s="1" t="s">
        <v>16</v>
      </c>
      <c r="E520" s="1" t="s">
        <v>8</v>
      </c>
      <c r="F520" s="1" t="s">
        <v>15</v>
      </c>
    </row>
    <row r="521" spans="1:6">
      <c r="A521">
        <v>1520</v>
      </c>
      <c r="B521" s="1" t="s">
        <v>6</v>
      </c>
      <c r="C521">
        <v>61</v>
      </c>
      <c r="D521" s="1" t="s">
        <v>16</v>
      </c>
      <c r="E521" s="1" t="s">
        <v>8</v>
      </c>
      <c r="F521" s="1" t="s">
        <v>14</v>
      </c>
    </row>
    <row r="522" spans="1:6">
      <c r="A522">
        <v>1521</v>
      </c>
      <c r="B522" s="1" t="s">
        <v>10</v>
      </c>
      <c r="C522">
        <v>37</v>
      </c>
      <c r="D522" s="1" t="s">
        <v>16</v>
      </c>
      <c r="E522" s="1" t="s">
        <v>8</v>
      </c>
      <c r="F522" s="1" t="s">
        <v>14</v>
      </c>
    </row>
    <row r="523" spans="1:6">
      <c r="A523">
        <v>1522</v>
      </c>
      <c r="B523" s="1" t="s">
        <v>6</v>
      </c>
      <c r="C523">
        <v>41</v>
      </c>
      <c r="D523" s="1" t="s">
        <v>16</v>
      </c>
      <c r="E523" s="1" t="s">
        <v>8</v>
      </c>
      <c r="F523" s="1" t="s">
        <v>15</v>
      </c>
    </row>
    <row r="524" spans="1:6">
      <c r="A524">
        <v>1523</v>
      </c>
      <c r="B524" s="1" t="s">
        <v>10</v>
      </c>
      <c r="C524">
        <v>49</v>
      </c>
      <c r="D524" s="1" t="s">
        <v>18</v>
      </c>
      <c r="E524" s="1" t="s">
        <v>12</v>
      </c>
      <c r="F524" s="1" t="s">
        <v>9</v>
      </c>
    </row>
    <row r="525" spans="1:6">
      <c r="A525">
        <v>1524</v>
      </c>
      <c r="B525" s="1" t="s">
        <v>10</v>
      </c>
      <c r="C525">
        <v>58</v>
      </c>
      <c r="D525" s="1" t="s">
        <v>13</v>
      </c>
      <c r="E525" s="1" t="s">
        <v>12</v>
      </c>
      <c r="F525" s="1" t="s">
        <v>14</v>
      </c>
    </row>
    <row r="526" spans="1:6">
      <c r="A526">
        <v>1525</v>
      </c>
      <c r="B526" s="1" t="s">
        <v>10</v>
      </c>
      <c r="C526">
        <v>53</v>
      </c>
      <c r="D526" s="1" t="s">
        <v>7</v>
      </c>
      <c r="E526" s="1" t="s">
        <v>8</v>
      </c>
      <c r="F526" s="1" t="s">
        <v>9</v>
      </c>
    </row>
    <row r="527" spans="1:6">
      <c r="A527">
        <v>1526</v>
      </c>
      <c r="B527" s="1" t="s">
        <v>6</v>
      </c>
      <c r="C527">
        <v>51</v>
      </c>
      <c r="D527" s="1" t="s">
        <v>18</v>
      </c>
      <c r="E527" s="1" t="s">
        <v>8</v>
      </c>
      <c r="F527" s="1" t="s">
        <v>14</v>
      </c>
    </row>
    <row r="528" spans="1:6">
      <c r="A528">
        <v>1527</v>
      </c>
      <c r="B528" s="1" t="s">
        <v>6</v>
      </c>
      <c r="C528">
        <v>53</v>
      </c>
      <c r="D528" s="1" t="s">
        <v>18</v>
      </c>
      <c r="E528" s="1" t="s">
        <v>12</v>
      </c>
      <c r="F528" s="1" t="s">
        <v>14</v>
      </c>
    </row>
    <row r="529" spans="1:6">
      <c r="A529">
        <v>1528</v>
      </c>
      <c r="B529" s="1" t="s">
        <v>6</v>
      </c>
      <c r="C529">
        <v>19</v>
      </c>
      <c r="D529" s="1" t="s">
        <v>18</v>
      </c>
      <c r="E529" s="1" t="s">
        <v>12</v>
      </c>
      <c r="F529" s="1" t="s">
        <v>14</v>
      </c>
    </row>
    <row r="530" spans="1:6">
      <c r="A530">
        <v>1529</v>
      </c>
      <c r="B530" s="1" t="s">
        <v>6</v>
      </c>
      <c r="C530">
        <v>32</v>
      </c>
      <c r="D530" s="1" t="s">
        <v>16</v>
      </c>
      <c r="E530" s="1" t="s">
        <v>8</v>
      </c>
      <c r="F530" s="1" t="s">
        <v>17</v>
      </c>
    </row>
    <row r="531" spans="1:6">
      <c r="A531">
        <v>1530</v>
      </c>
      <c r="B531" s="1" t="s">
        <v>10</v>
      </c>
      <c r="C531">
        <v>51</v>
      </c>
      <c r="D531" s="1" t="s">
        <v>7</v>
      </c>
      <c r="E531" s="1" t="s">
        <v>19</v>
      </c>
      <c r="F531" s="1" t="s">
        <v>17</v>
      </c>
    </row>
    <row r="532" spans="1:6">
      <c r="A532">
        <v>1531</v>
      </c>
      <c r="B532" s="1" t="s">
        <v>10</v>
      </c>
      <c r="C532">
        <v>53</v>
      </c>
      <c r="D532" s="1" t="s">
        <v>18</v>
      </c>
      <c r="E532" s="1" t="s">
        <v>19</v>
      </c>
      <c r="F532" s="1" t="s">
        <v>15</v>
      </c>
    </row>
    <row r="533" spans="1:6">
      <c r="A533">
        <v>1532</v>
      </c>
      <c r="B533" s="1" t="s">
        <v>10</v>
      </c>
      <c r="C533">
        <v>23</v>
      </c>
      <c r="D533" s="1" t="s">
        <v>11</v>
      </c>
      <c r="E533" s="1" t="s">
        <v>8</v>
      </c>
      <c r="F533" s="1" t="s">
        <v>14</v>
      </c>
    </row>
    <row r="534" spans="1:6">
      <c r="A534">
        <v>1533</v>
      </c>
      <c r="B534" s="1" t="s">
        <v>10</v>
      </c>
      <c r="C534">
        <v>56</v>
      </c>
      <c r="D534" s="1" t="s">
        <v>16</v>
      </c>
      <c r="E534" s="1" t="s">
        <v>8</v>
      </c>
      <c r="F534" s="1" t="s">
        <v>14</v>
      </c>
    </row>
    <row r="535" spans="1:6">
      <c r="A535">
        <v>1534</v>
      </c>
      <c r="B535" s="1" t="s">
        <v>10</v>
      </c>
      <c r="C535">
        <v>59</v>
      </c>
      <c r="D535" s="1" t="s">
        <v>11</v>
      </c>
      <c r="E535" s="1" t="s">
        <v>12</v>
      </c>
      <c r="F535" s="1" t="s">
        <v>9</v>
      </c>
    </row>
    <row r="536" spans="1:6">
      <c r="A536">
        <v>1535</v>
      </c>
      <c r="B536" s="1" t="s">
        <v>10</v>
      </c>
      <c r="C536">
        <v>29</v>
      </c>
      <c r="D536" s="1" t="s">
        <v>11</v>
      </c>
      <c r="E536" s="1" t="s">
        <v>19</v>
      </c>
      <c r="F536" s="1" t="s">
        <v>9</v>
      </c>
    </row>
    <row r="537" spans="1:6">
      <c r="A537">
        <v>1536</v>
      </c>
      <c r="B537" s="1" t="s">
        <v>10</v>
      </c>
      <c r="C537">
        <v>20</v>
      </c>
      <c r="D537" s="1" t="s">
        <v>7</v>
      </c>
      <c r="E537" s="1" t="s">
        <v>19</v>
      </c>
      <c r="F537" s="1" t="s">
        <v>9</v>
      </c>
    </row>
    <row r="538" spans="1:6">
      <c r="A538">
        <v>1537</v>
      </c>
      <c r="B538" s="1" t="s">
        <v>10</v>
      </c>
      <c r="C538">
        <v>62</v>
      </c>
      <c r="D538" s="1" t="s">
        <v>11</v>
      </c>
      <c r="E538" s="1" t="s">
        <v>8</v>
      </c>
      <c r="F538" s="1" t="s">
        <v>15</v>
      </c>
    </row>
    <row r="539" spans="1:6">
      <c r="A539">
        <v>1538</v>
      </c>
      <c r="B539" s="1" t="s">
        <v>6</v>
      </c>
      <c r="C539">
        <v>35</v>
      </c>
      <c r="D539" s="1" t="s">
        <v>16</v>
      </c>
      <c r="E539" s="1" t="s">
        <v>8</v>
      </c>
      <c r="F539" s="1" t="s">
        <v>14</v>
      </c>
    </row>
    <row r="540" spans="1:6">
      <c r="A540">
        <v>1539</v>
      </c>
      <c r="B540" s="1" t="s">
        <v>6</v>
      </c>
      <c r="C540">
        <v>57</v>
      </c>
      <c r="D540" s="1" t="s">
        <v>13</v>
      </c>
      <c r="E540" s="1" t="s">
        <v>12</v>
      </c>
      <c r="F540" s="1" t="s">
        <v>17</v>
      </c>
    </row>
    <row r="541" spans="1:6">
      <c r="A541">
        <v>1540</v>
      </c>
      <c r="B541" s="1" t="s">
        <v>6</v>
      </c>
      <c r="C541">
        <v>38</v>
      </c>
      <c r="D541" s="1" t="s">
        <v>16</v>
      </c>
      <c r="E541" s="1" t="s">
        <v>12</v>
      </c>
      <c r="F541" s="1" t="s">
        <v>9</v>
      </c>
    </row>
    <row r="542" spans="1:6">
      <c r="A542">
        <v>1541</v>
      </c>
      <c r="B542" s="1" t="s">
        <v>10</v>
      </c>
      <c r="C542">
        <v>32</v>
      </c>
      <c r="D542" s="1" t="s">
        <v>11</v>
      </c>
      <c r="E542" s="1" t="s">
        <v>8</v>
      </c>
      <c r="F542" s="1" t="s">
        <v>9</v>
      </c>
    </row>
    <row r="543" spans="1:6">
      <c r="A543">
        <v>1542</v>
      </c>
      <c r="B543" s="1" t="s">
        <v>10</v>
      </c>
      <c r="C543">
        <v>50</v>
      </c>
      <c r="D543" s="1" t="s">
        <v>16</v>
      </c>
      <c r="E543" s="1" t="s">
        <v>19</v>
      </c>
      <c r="F543" s="1" t="s">
        <v>20</v>
      </c>
    </row>
    <row r="544" spans="1:6">
      <c r="A544">
        <v>1543</v>
      </c>
      <c r="B544" s="1" t="s">
        <v>6</v>
      </c>
      <c r="C544">
        <v>52</v>
      </c>
      <c r="D544" s="1" t="s">
        <v>18</v>
      </c>
      <c r="E544" s="1" t="s">
        <v>12</v>
      </c>
      <c r="F544" s="1" t="s">
        <v>9</v>
      </c>
    </row>
    <row r="545" spans="1:6">
      <c r="A545">
        <v>1544</v>
      </c>
      <c r="B545" s="1" t="s">
        <v>10</v>
      </c>
      <c r="C545">
        <v>43</v>
      </c>
      <c r="D545" s="1" t="s">
        <v>7</v>
      </c>
      <c r="E545" s="1" t="s">
        <v>12</v>
      </c>
      <c r="F545" s="1" t="s">
        <v>15</v>
      </c>
    </row>
    <row r="546" spans="1:6">
      <c r="A546">
        <v>1545</v>
      </c>
      <c r="B546" s="1" t="s">
        <v>10</v>
      </c>
      <c r="C546">
        <v>25</v>
      </c>
      <c r="D546" s="1" t="s">
        <v>16</v>
      </c>
      <c r="E546" s="1" t="s">
        <v>19</v>
      </c>
      <c r="F546" s="1" t="s">
        <v>14</v>
      </c>
    </row>
    <row r="547" spans="1:6">
      <c r="A547">
        <v>1546</v>
      </c>
      <c r="B547" s="1" t="s">
        <v>6</v>
      </c>
      <c r="C547">
        <v>53</v>
      </c>
      <c r="D547" s="1" t="s">
        <v>7</v>
      </c>
      <c r="E547" s="1" t="s">
        <v>12</v>
      </c>
      <c r="F547" s="1" t="s">
        <v>15</v>
      </c>
    </row>
    <row r="548" spans="1:6">
      <c r="A548">
        <v>1547</v>
      </c>
      <c r="B548" s="1" t="s">
        <v>6</v>
      </c>
      <c r="C548">
        <v>47</v>
      </c>
      <c r="D548" s="1" t="s">
        <v>16</v>
      </c>
      <c r="E548" s="1" t="s">
        <v>8</v>
      </c>
      <c r="F548" s="1" t="s">
        <v>9</v>
      </c>
    </row>
    <row r="549" spans="1:6">
      <c r="A549">
        <v>1548</v>
      </c>
      <c r="B549" s="1" t="s">
        <v>10</v>
      </c>
      <c r="C549">
        <v>40</v>
      </c>
      <c r="D549" s="1" t="s">
        <v>7</v>
      </c>
      <c r="E549" s="1" t="s">
        <v>12</v>
      </c>
      <c r="F549" s="1" t="s">
        <v>9</v>
      </c>
    </row>
    <row r="550" spans="1:6">
      <c r="A550">
        <v>1549</v>
      </c>
      <c r="B550" s="1" t="s">
        <v>10</v>
      </c>
      <c r="C550">
        <v>59</v>
      </c>
      <c r="D550" s="1" t="s">
        <v>18</v>
      </c>
      <c r="E550" s="1" t="s">
        <v>8</v>
      </c>
      <c r="F550" s="1" t="s">
        <v>9</v>
      </c>
    </row>
    <row r="551" spans="1:6">
      <c r="A551">
        <v>1550</v>
      </c>
      <c r="B551" s="1" t="s">
        <v>10</v>
      </c>
      <c r="C551">
        <v>61</v>
      </c>
      <c r="D551" s="1" t="s">
        <v>7</v>
      </c>
      <c r="E551" s="1" t="s">
        <v>12</v>
      </c>
      <c r="F551" s="1" t="s">
        <v>14</v>
      </c>
    </row>
    <row r="552" spans="1:6">
      <c r="A552">
        <v>1551</v>
      </c>
      <c r="B552" s="1" t="s">
        <v>10</v>
      </c>
      <c r="C552">
        <v>31</v>
      </c>
      <c r="D552" s="1" t="s">
        <v>16</v>
      </c>
      <c r="E552" s="1" t="s">
        <v>8</v>
      </c>
      <c r="F552" s="1" t="s">
        <v>15</v>
      </c>
    </row>
    <row r="553" spans="1:6">
      <c r="A553">
        <v>1552</v>
      </c>
      <c r="B553" s="1" t="s">
        <v>10</v>
      </c>
      <c r="C553">
        <v>31</v>
      </c>
      <c r="D553" s="1" t="s">
        <v>13</v>
      </c>
      <c r="E553" s="1" t="s">
        <v>12</v>
      </c>
      <c r="F553" s="1" t="s">
        <v>9</v>
      </c>
    </row>
    <row r="554" spans="1:6">
      <c r="A554">
        <v>1553</v>
      </c>
      <c r="B554" s="1" t="s">
        <v>10</v>
      </c>
      <c r="C554">
        <v>19</v>
      </c>
      <c r="D554" s="1" t="s">
        <v>18</v>
      </c>
      <c r="E554" s="1" t="s">
        <v>8</v>
      </c>
      <c r="F554" s="1" t="s">
        <v>14</v>
      </c>
    </row>
    <row r="555" spans="1:6">
      <c r="A555">
        <v>1554</v>
      </c>
      <c r="B555" s="1" t="s">
        <v>10</v>
      </c>
      <c r="C555">
        <v>54</v>
      </c>
      <c r="D555" s="1" t="s">
        <v>16</v>
      </c>
      <c r="E555" s="1" t="s">
        <v>8</v>
      </c>
      <c r="F555" s="1" t="s">
        <v>17</v>
      </c>
    </row>
    <row r="556" spans="1:6">
      <c r="A556">
        <v>1555</v>
      </c>
      <c r="B556" s="1" t="s">
        <v>10</v>
      </c>
      <c r="C556">
        <v>22</v>
      </c>
      <c r="D556" s="1" t="s">
        <v>7</v>
      </c>
      <c r="E556" s="1" t="s">
        <v>8</v>
      </c>
      <c r="F556" s="1" t="s">
        <v>9</v>
      </c>
    </row>
    <row r="557" spans="1:6">
      <c r="A557">
        <v>1556</v>
      </c>
      <c r="B557" s="1" t="s">
        <v>6</v>
      </c>
      <c r="C557">
        <v>55</v>
      </c>
      <c r="D557" s="1" t="s">
        <v>16</v>
      </c>
      <c r="E557" s="1" t="s">
        <v>8</v>
      </c>
      <c r="F557" s="1" t="s">
        <v>15</v>
      </c>
    </row>
    <row r="558" spans="1:6">
      <c r="A558">
        <v>1557</v>
      </c>
      <c r="B558" s="1" t="s">
        <v>6</v>
      </c>
      <c r="C558">
        <v>62</v>
      </c>
      <c r="D558" s="1" t="s">
        <v>7</v>
      </c>
      <c r="E558" s="1" t="s">
        <v>12</v>
      </c>
      <c r="F558" s="1" t="s">
        <v>14</v>
      </c>
    </row>
    <row r="559" spans="1:6">
      <c r="A559">
        <v>1558</v>
      </c>
      <c r="B559" s="1" t="s">
        <v>6</v>
      </c>
      <c r="C559">
        <v>58</v>
      </c>
      <c r="D559" s="1" t="s">
        <v>16</v>
      </c>
      <c r="E559" s="1" t="s">
        <v>12</v>
      </c>
      <c r="F559" s="1" t="s">
        <v>9</v>
      </c>
    </row>
    <row r="560" spans="1:6">
      <c r="A560">
        <v>1559</v>
      </c>
      <c r="B560" s="1" t="s">
        <v>10</v>
      </c>
      <c r="C560">
        <v>64</v>
      </c>
      <c r="D560" s="1" t="s">
        <v>18</v>
      </c>
      <c r="E560" s="1" t="s">
        <v>12</v>
      </c>
      <c r="F560" s="1" t="s">
        <v>15</v>
      </c>
    </row>
    <row r="561" spans="1:6">
      <c r="A561">
        <v>1560</v>
      </c>
      <c r="B561" s="1" t="s">
        <v>10</v>
      </c>
      <c r="C561">
        <v>31</v>
      </c>
      <c r="D561" s="1" t="s">
        <v>11</v>
      </c>
      <c r="E561" s="1" t="s">
        <v>8</v>
      </c>
      <c r="F561" s="1" t="s">
        <v>14</v>
      </c>
    </row>
    <row r="562" spans="1:6">
      <c r="A562">
        <v>1561</v>
      </c>
      <c r="B562" s="1" t="s">
        <v>10</v>
      </c>
      <c r="C562">
        <v>56</v>
      </c>
      <c r="D562" s="1" t="s">
        <v>16</v>
      </c>
      <c r="E562" s="1" t="s">
        <v>8</v>
      </c>
      <c r="F562" s="1" t="s">
        <v>17</v>
      </c>
    </row>
    <row r="563" spans="1:6">
      <c r="A563">
        <v>1562</v>
      </c>
      <c r="B563" s="1" t="s">
        <v>6</v>
      </c>
      <c r="C563">
        <v>42</v>
      </c>
      <c r="D563" s="1" t="s">
        <v>16</v>
      </c>
      <c r="E563" s="1" t="s">
        <v>8</v>
      </c>
      <c r="F563" s="1" t="s">
        <v>17</v>
      </c>
    </row>
    <row r="564" spans="1:6">
      <c r="A564">
        <v>1563</v>
      </c>
      <c r="B564" s="1" t="s">
        <v>6</v>
      </c>
      <c r="C564">
        <v>37</v>
      </c>
      <c r="D564" s="1" t="s">
        <v>16</v>
      </c>
      <c r="E564" s="1" t="s">
        <v>8</v>
      </c>
      <c r="F564" s="1" t="s">
        <v>14</v>
      </c>
    </row>
    <row r="565" spans="1:6">
      <c r="A565">
        <v>1564</v>
      </c>
      <c r="B565" s="1" t="s">
        <v>6</v>
      </c>
      <c r="C565">
        <v>19</v>
      </c>
      <c r="D565" s="1" t="s">
        <v>11</v>
      </c>
      <c r="E565" s="1" t="s">
        <v>19</v>
      </c>
      <c r="F565" s="1" t="s">
        <v>14</v>
      </c>
    </row>
    <row r="566" spans="1:6">
      <c r="A566">
        <v>1565</v>
      </c>
      <c r="B566" s="1" t="s">
        <v>6</v>
      </c>
      <c r="C566">
        <v>56</v>
      </c>
      <c r="D566" s="1" t="s">
        <v>16</v>
      </c>
      <c r="E566" s="1" t="s">
        <v>8</v>
      </c>
      <c r="F566" s="1" t="s">
        <v>15</v>
      </c>
    </row>
    <row r="567" spans="1:6">
      <c r="A567">
        <v>1566</v>
      </c>
      <c r="B567" s="1" t="s">
        <v>10</v>
      </c>
      <c r="C567">
        <v>23</v>
      </c>
      <c r="D567" s="1" t="s">
        <v>11</v>
      </c>
      <c r="E567" s="1" t="s">
        <v>8</v>
      </c>
      <c r="F567" s="1" t="s">
        <v>14</v>
      </c>
    </row>
    <row r="568" spans="1:6">
      <c r="A568">
        <v>1567</v>
      </c>
      <c r="B568" s="1" t="s">
        <v>6</v>
      </c>
      <c r="C568">
        <v>34</v>
      </c>
      <c r="D568" s="1" t="s">
        <v>16</v>
      </c>
      <c r="E568" s="1" t="s">
        <v>8</v>
      </c>
      <c r="F568" s="1" t="s">
        <v>15</v>
      </c>
    </row>
    <row r="569" spans="1:6">
      <c r="A569">
        <v>1568</v>
      </c>
      <c r="B569" s="1" t="s">
        <v>6</v>
      </c>
      <c r="C569">
        <v>42</v>
      </c>
      <c r="D569" s="1" t="s">
        <v>16</v>
      </c>
      <c r="E569" s="1" t="s">
        <v>8</v>
      </c>
      <c r="F569" s="1" t="s">
        <v>9</v>
      </c>
    </row>
    <row r="570" spans="1:6">
      <c r="A570">
        <v>1569</v>
      </c>
      <c r="B570" s="1" t="s">
        <v>10</v>
      </c>
      <c r="C570">
        <v>45</v>
      </c>
      <c r="D570" s="1" t="s">
        <v>18</v>
      </c>
      <c r="E570" s="1" t="s">
        <v>12</v>
      </c>
      <c r="F570" s="1" t="s">
        <v>14</v>
      </c>
    </row>
    <row r="571" spans="1:6">
      <c r="A571">
        <v>1570</v>
      </c>
      <c r="B571" s="1" t="s">
        <v>6</v>
      </c>
      <c r="C571">
        <v>19</v>
      </c>
      <c r="D571" s="1" t="s">
        <v>16</v>
      </c>
      <c r="E571" s="1" t="s">
        <v>12</v>
      </c>
      <c r="F571" s="1" t="s">
        <v>14</v>
      </c>
    </row>
    <row r="572" spans="1:6">
      <c r="A572">
        <v>1571</v>
      </c>
      <c r="B572" s="1" t="s">
        <v>6</v>
      </c>
      <c r="C572">
        <v>52</v>
      </c>
      <c r="D572" s="1" t="s">
        <v>7</v>
      </c>
      <c r="E572" s="1" t="s">
        <v>8</v>
      </c>
      <c r="F572" s="1" t="s">
        <v>15</v>
      </c>
    </row>
    <row r="573" spans="1:6">
      <c r="A573">
        <v>1572</v>
      </c>
      <c r="B573" s="1" t="s">
        <v>10</v>
      </c>
      <c r="C573">
        <v>54</v>
      </c>
      <c r="D573" s="1" t="s">
        <v>7</v>
      </c>
      <c r="E573" s="1" t="s">
        <v>8</v>
      </c>
      <c r="F573" s="1" t="s">
        <v>20</v>
      </c>
    </row>
    <row r="574" spans="1:6">
      <c r="A574">
        <v>1573</v>
      </c>
      <c r="B574" s="1" t="s">
        <v>6</v>
      </c>
      <c r="C574">
        <v>22</v>
      </c>
      <c r="D574" s="1" t="s">
        <v>18</v>
      </c>
      <c r="E574" s="1" t="s">
        <v>8</v>
      </c>
      <c r="F574" s="1" t="s">
        <v>9</v>
      </c>
    </row>
    <row r="575" spans="1:6">
      <c r="A575">
        <v>1574</v>
      </c>
      <c r="B575" s="1" t="s">
        <v>10</v>
      </c>
      <c r="C575">
        <v>18</v>
      </c>
      <c r="D575" s="1" t="s">
        <v>11</v>
      </c>
      <c r="E575" s="1" t="s">
        <v>8</v>
      </c>
      <c r="F575" s="1" t="s">
        <v>15</v>
      </c>
    </row>
    <row r="576" spans="1:6">
      <c r="A576">
        <v>1575</v>
      </c>
      <c r="B576" s="1" t="s">
        <v>10</v>
      </c>
      <c r="C576">
        <v>57</v>
      </c>
      <c r="D576" s="1" t="s">
        <v>7</v>
      </c>
      <c r="E576" s="1" t="s">
        <v>8</v>
      </c>
      <c r="F576" s="1" t="s">
        <v>9</v>
      </c>
    </row>
    <row r="577" spans="1:6">
      <c r="A577">
        <v>1576</v>
      </c>
      <c r="B577" s="1" t="s">
        <v>10</v>
      </c>
      <c r="C577">
        <v>29</v>
      </c>
      <c r="D577" s="1" t="s">
        <v>16</v>
      </c>
      <c r="E577" s="1" t="s">
        <v>19</v>
      </c>
      <c r="F577" s="1" t="s">
        <v>17</v>
      </c>
    </row>
    <row r="578" spans="1:6">
      <c r="A578">
        <v>1577</v>
      </c>
      <c r="B578" s="1" t="s">
        <v>6</v>
      </c>
      <c r="C578">
        <v>53</v>
      </c>
      <c r="D578" s="1" t="s">
        <v>16</v>
      </c>
      <c r="E578" s="1" t="s">
        <v>12</v>
      </c>
      <c r="F578" s="1" t="s">
        <v>14</v>
      </c>
    </row>
    <row r="579" spans="1:6">
      <c r="A579">
        <v>1578</v>
      </c>
      <c r="B579" s="1" t="s">
        <v>10</v>
      </c>
      <c r="C579">
        <v>62</v>
      </c>
      <c r="D579" s="1" t="s">
        <v>16</v>
      </c>
      <c r="E579" s="1" t="s">
        <v>12</v>
      </c>
      <c r="F579" s="1" t="s">
        <v>15</v>
      </c>
    </row>
    <row r="580" spans="1:6">
      <c r="A580">
        <v>1579</v>
      </c>
      <c r="B580" s="1" t="s">
        <v>6</v>
      </c>
      <c r="C580">
        <v>40</v>
      </c>
      <c r="D580" s="1" t="s">
        <v>18</v>
      </c>
      <c r="E580" s="1" t="s">
        <v>8</v>
      </c>
      <c r="F580" s="1" t="s">
        <v>14</v>
      </c>
    </row>
    <row r="581" spans="1:6">
      <c r="A581">
        <v>1580</v>
      </c>
      <c r="B581" s="1" t="s">
        <v>6</v>
      </c>
      <c r="C581">
        <v>64</v>
      </c>
      <c r="D581" s="1" t="s">
        <v>16</v>
      </c>
      <c r="E581" s="1" t="s">
        <v>8</v>
      </c>
      <c r="F581" s="1" t="s">
        <v>15</v>
      </c>
    </row>
    <row r="582" spans="1:6">
      <c r="A582">
        <v>1581</v>
      </c>
      <c r="B582" s="1" t="s">
        <v>6</v>
      </c>
      <c r="C582">
        <v>48</v>
      </c>
      <c r="D582" s="1" t="s">
        <v>11</v>
      </c>
      <c r="E582" s="1" t="s">
        <v>12</v>
      </c>
      <c r="F582" s="1" t="s">
        <v>17</v>
      </c>
    </row>
    <row r="583" spans="1:6">
      <c r="A583">
        <v>1582</v>
      </c>
      <c r="B583" s="1" t="s">
        <v>10</v>
      </c>
      <c r="C583">
        <v>28</v>
      </c>
      <c r="D583" s="1" t="s">
        <v>13</v>
      </c>
      <c r="E583" s="1" t="s">
        <v>12</v>
      </c>
      <c r="F583" s="1" t="s">
        <v>15</v>
      </c>
    </row>
    <row r="584" spans="1:6">
      <c r="A584">
        <v>1583</v>
      </c>
      <c r="B584" s="1" t="s">
        <v>6</v>
      </c>
      <c r="C584">
        <v>27</v>
      </c>
      <c r="D584" s="1" t="s">
        <v>7</v>
      </c>
      <c r="E584" s="1" t="s">
        <v>12</v>
      </c>
      <c r="F584" s="1" t="s">
        <v>15</v>
      </c>
    </row>
    <row r="585" spans="1:6">
      <c r="A585">
        <v>1584</v>
      </c>
      <c r="B585" s="1" t="s">
        <v>6</v>
      </c>
      <c r="C585">
        <v>20</v>
      </c>
      <c r="D585" s="1" t="s">
        <v>11</v>
      </c>
      <c r="E585" s="1" t="s">
        <v>8</v>
      </c>
      <c r="F585" s="1" t="s">
        <v>20</v>
      </c>
    </row>
    <row r="586" spans="1:6">
      <c r="A586">
        <v>1585</v>
      </c>
      <c r="B586" s="1" t="s">
        <v>10</v>
      </c>
      <c r="C586">
        <v>31</v>
      </c>
      <c r="D586" s="1" t="s">
        <v>16</v>
      </c>
      <c r="E586" s="1" t="s">
        <v>12</v>
      </c>
      <c r="F586" s="1" t="s">
        <v>9</v>
      </c>
    </row>
    <row r="587" spans="1:6">
      <c r="A587">
        <v>1586</v>
      </c>
      <c r="B587" s="1" t="s">
        <v>6</v>
      </c>
      <c r="C587">
        <v>33</v>
      </c>
      <c r="D587" s="1" t="s">
        <v>7</v>
      </c>
      <c r="E587" s="1" t="s">
        <v>8</v>
      </c>
      <c r="F587" s="1" t="s">
        <v>9</v>
      </c>
    </row>
    <row r="588" spans="1:6">
      <c r="A588">
        <v>1587</v>
      </c>
      <c r="B588" s="1" t="s">
        <v>6</v>
      </c>
      <c r="C588">
        <v>27</v>
      </c>
      <c r="D588" s="1" t="s">
        <v>11</v>
      </c>
      <c r="E588" s="1" t="s">
        <v>19</v>
      </c>
      <c r="F588" s="1" t="s">
        <v>14</v>
      </c>
    </row>
    <row r="589" spans="1:6">
      <c r="A589">
        <v>1588</v>
      </c>
      <c r="B589" s="1" t="s">
        <v>6</v>
      </c>
      <c r="C589">
        <v>46</v>
      </c>
      <c r="D589" s="1" t="s">
        <v>16</v>
      </c>
      <c r="E589" s="1" t="s">
        <v>12</v>
      </c>
      <c r="F589" s="1" t="s">
        <v>20</v>
      </c>
    </row>
    <row r="590" spans="1:6">
      <c r="A590">
        <v>1589</v>
      </c>
      <c r="B590" s="1" t="s">
        <v>6</v>
      </c>
      <c r="C590">
        <v>27</v>
      </c>
      <c r="D590" s="1" t="s">
        <v>16</v>
      </c>
      <c r="E590" s="1" t="s">
        <v>12</v>
      </c>
      <c r="F590" s="1" t="s">
        <v>15</v>
      </c>
    </row>
    <row r="591" spans="1:6">
      <c r="A591">
        <v>1590</v>
      </c>
      <c r="B591" s="1" t="s">
        <v>6</v>
      </c>
      <c r="C591">
        <v>29</v>
      </c>
      <c r="D591" s="1" t="s">
        <v>7</v>
      </c>
      <c r="E591" s="1" t="s">
        <v>8</v>
      </c>
      <c r="F591" s="1" t="s">
        <v>9</v>
      </c>
    </row>
    <row r="592" spans="1:6">
      <c r="A592">
        <v>1591</v>
      </c>
      <c r="B592" s="1" t="s">
        <v>6</v>
      </c>
      <c r="C592">
        <v>47</v>
      </c>
      <c r="D592" s="1" t="s">
        <v>18</v>
      </c>
      <c r="E592" s="1" t="s">
        <v>12</v>
      </c>
      <c r="F592" s="1" t="s">
        <v>15</v>
      </c>
    </row>
    <row r="593" spans="1:6">
      <c r="A593">
        <v>1592</v>
      </c>
      <c r="B593" s="1" t="s">
        <v>10</v>
      </c>
      <c r="C593">
        <v>58</v>
      </c>
      <c r="D593" s="1" t="s">
        <v>7</v>
      </c>
      <c r="E593" s="1" t="s">
        <v>8</v>
      </c>
      <c r="F593" s="1" t="s">
        <v>15</v>
      </c>
    </row>
    <row r="594" spans="1:6">
      <c r="A594">
        <v>1593</v>
      </c>
      <c r="B594" s="1" t="s">
        <v>6</v>
      </c>
      <c r="C594">
        <v>18</v>
      </c>
      <c r="D594" s="1" t="s">
        <v>7</v>
      </c>
      <c r="E594" s="1" t="s">
        <v>8</v>
      </c>
      <c r="F594" s="1" t="s">
        <v>9</v>
      </c>
    </row>
    <row r="595" spans="1:6">
      <c r="A595">
        <v>1594</v>
      </c>
      <c r="B595" s="1" t="s">
        <v>6</v>
      </c>
      <c r="C595">
        <v>22</v>
      </c>
      <c r="D595" s="1" t="s">
        <v>11</v>
      </c>
      <c r="E595" s="1" t="s">
        <v>8</v>
      </c>
      <c r="F595" s="1" t="s">
        <v>14</v>
      </c>
    </row>
    <row r="596" spans="1:6">
      <c r="A596">
        <v>1595</v>
      </c>
      <c r="B596" s="1" t="s">
        <v>10</v>
      </c>
      <c r="C596">
        <v>37</v>
      </c>
      <c r="D596" s="1" t="s">
        <v>11</v>
      </c>
      <c r="E596" s="1" t="s">
        <v>12</v>
      </c>
      <c r="F596" s="1" t="s">
        <v>20</v>
      </c>
    </row>
    <row r="597" spans="1:6">
      <c r="A597">
        <v>1596</v>
      </c>
      <c r="B597" s="1" t="s">
        <v>6</v>
      </c>
      <c r="C597">
        <v>25</v>
      </c>
      <c r="D597" s="1" t="s">
        <v>11</v>
      </c>
      <c r="E597" s="1" t="s">
        <v>8</v>
      </c>
      <c r="F597" s="1" t="s">
        <v>15</v>
      </c>
    </row>
    <row r="598" spans="1:6">
      <c r="A598">
        <v>1597</v>
      </c>
      <c r="B598" s="1" t="s">
        <v>10</v>
      </c>
      <c r="C598">
        <v>60</v>
      </c>
      <c r="D598" s="1" t="s">
        <v>16</v>
      </c>
      <c r="E598" s="1" t="s">
        <v>8</v>
      </c>
      <c r="F598" s="1" t="s">
        <v>15</v>
      </c>
    </row>
    <row r="599" spans="1:6">
      <c r="A599">
        <v>1598</v>
      </c>
      <c r="B599" s="1" t="s">
        <v>6</v>
      </c>
      <c r="C599">
        <v>29</v>
      </c>
      <c r="D599" s="1" t="s">
        <v>11</v>
      </c>
      <c r="E599" s="1" t="s">
        <v>19</v>
      </c>
      <c r="F599" s="1" t="s">
        <v>15</v>
      </c>
    </row>
    <row r="600" spans="1:6">
      <c r="A600">
        <v>1599</v>
      </c>
      <c r="B600" s="1" t="s">
        <v>6</v>
      </c>
      <c r="C600">
        <v>18</v>
      </c>
      <c r="D600" s="1" t="s">
        <v>18</v>
      </c>
      <c r="E600" s="1" t="s">
        <v>8</v>
      </c>
      <c r="F600" s="1" t="s">
        <v>9</v>
      </c>
    </row>
    <row r="601" spans="1:6">
      <c r="A601">
        <v>1600</v>
      </c>
      <c r="B601" s="1" t="s">
        <v>6</v>
      </c>
      <c r="C601">
        <v>37</v>
      </c>
      <c r="D601" s="1" t="s">
        <v>11</v>
      </c>
      <c r="E601" s="1" t="s">
        <v>12</v>
      </c>
      <c r="F601" s="1" t="s">
        <v>17</v>
      </c>
    </row>
    <row r="602" spans="1:6">
      <c r="A602">
        <v>1601</v>
      </c>
      <c r="B602" s="1" t="s">
        <v>6</v>
      </c>
      <c r="C602">
        <v>45</v>
      </c>
      <c r="D602" s="1" t="s">
        <v>7</v>
      </c>
      <c r="E602" s="1" t="s">
        <v>8</v>
      </c>
      <c r="F602" s="1" t="s">
        <v>15</v>
      </c>
    </row>
    <row r="603" spans="1:6">
      <c r="A603">
        <v>1602</v>
      </c>
      <c r="B603" s="1" t="s">
        <v>6</v>
      </c>
      <c r="C603">
        <v>60</v>
      </c>
      <c r="D603" s="1" t="s">
        <v>11</v>
      </c>
      <c r="E603" s="1" t="s">
        <v>8</v>
      </c>
      <c r="F603" s="1" t="s">
        <v>15</v>
      </c>
    </row>
    <row r="604" spans="1:6">
      <c r="A604">
        <v>1603</v>
      </c>
      <c r="B604" s="1" t="s">
        <v>6</v>
      </c>
      <c r="C604">
        <v>54</v>
      </c>
      <c r="D604" s="1" t="s">
        <v>11</v>
      </c>
      <c r="E604" s="1" t="s">
        <v>12</v>
      </c>
      <c r="F604" s="1" t="s">
        <v>14</v>
      </c>
    </row>
    <row r="605" spans="1:6">
      <c r="A605">
        <v>1604</v>
      </c>
      <c r="B605" s="1" t="s">
        <v>6</v>
      </c>
      <c r="C605">
        <v>64</v>
      </c>
      <c r="D605" s="1" t="s">
        <v>11</v>
      </c>
      <c r="E605" s="1" t="s">
        <v>8</v>
      </c>
      <c r="F605" s="1" t="s">
        <v>15</v>
      </c>
    </row>
    <row r="606" spans="1:6">
      <c r="A606">
        <v>1605</v>
      </c>
      <c r="B606" s="1" t="s">
        <v>6</v>
      </c>
      <c r="C606">
        <v>54</v>
      </c>
      <c r="D606" s="1" t="s">
        <v>11</v>
      </c>
      <c r="E606" s="1" t="s">
        <v>8</v>
      </c>
      <c r="F606" s="1" t="s">
        <v>14</v>
      </c>
    </row>
    <row r="607" spans="1:6">
      <c r="A607">
        <v>1606</v>
      </c>
      <c r="B607" s="1" t="s">
        <v>6</v>
      </c>
      <c r="C607">
        <v>29</v>
      </c>
      <c r="D607" s="1" t="s">
        <v>18</v>
      </c>
      <c r="E607" s="1" t="s">
        <v>12</v>
      </c>
      <c r="F607" s="1" t="s">
        <v>9</v>
      </c>
    </row>
    <row r="608" spans="1:6">
      <c r="A608">
        <v>1607</v>
      </c>
      <c r="B608" s="1" t="s">
        <v>6</v>
      </c>
      <c r="C608">
        <v>54</v>
      </c>
      <c r="D608" s="1" t="s">
        <v>16</v>
      </c>
      <c r="E608" s="1" t="s">
        <v>12</v>
      </c>
      <c r="F608" s="1" t="s">
        <v>17</v>
      </c>
    </row>
    <row r="609" spans="1:6">
      <c r="A609">
        <v>1608</v>
      </c>
      <c r="B609" s="1" t="s">
        <v>6</v>
      </c>
      <c r="C609">
        <v>61</v>
      </c>
      <c r="D609" s="1" t="s">
        <v>11</v>
      </c>
      <c r="E609" s="1" t="s">
        <v>12</v>
      </c>
      <c r="F609" s="1" t="s">
        <v>20</v>
      </c>
    </row>
    <row r="610" spans="1:6">
      <c r="A610">
        <v>1609</v>
      </c>
      <c r="B610" s="1" t="s">
        <v>6</v>
      </c>
      <c r="C610">
        <v>45</v>
      </c>
      <c r="D610" s="1" t="s">
        <v>16</v>
      </c>
      <c r="E610" s="1" t="s">
        <v>8</v>
      </c>
      <c r="F610" s="1" t="s">
        <v>14</v>
      </c>
    </row>
    <row r="611" spans="1:6">
      <c r="A611">
        <v>1610</v>
      </c>
      <c r="B611" s="1" t="s">
        <v>10</v>
      </c>
      <c r="C611">
        <v>64</v>
      </c>
      <c r="D611" s="1" t="s">
        <v>16</v>
      </c>
      <c r="E611" s="1" t="s">
        <v>8</v>
      </c>
      <c r="F611" s="1" t="s">
        <v>20</v>
      </c>
    </row>
    <row r="612" spans="1:6">
      <c r="A612">
        <v>1611</v>
      </c>
      <c r="B612" s="1" t="s">
        <v>6</v>
      </c>
      <c r="C612">
        <v>32</v>
      </c>
      <c r="D612" s="1" t="s">
        <v>11</v>
      </c>
      <c r="E612" s="1" t="s">
        <v>12</v>
      </c>
      <c r="F612" s="1" t="s">
        <v>9</v>
      </c>
    </row>
    <row r="613" spans="1:6">
      <c r="A613">
        <v>1612</v>
      </c>
      <c r="B613" s="1" t="s">
        <v>10</v>
      </c>
      <c r="C613">
        <v>23</v>
      </c>
      <c r="D613" s="1" t="s">
        <v>18</v>
      </c>
      <c r="E613" s="1" t="s">
        <v>12</v>
      </c>
      <c r="F613" s="1" t="s">
        <v>15</v>
      </c>
    </row>
    <row r="614" spans="1:6">
      <c r="A614">
        <v>1613</v>
      </c>
      <c r="B614" s="1" t="s">
        <v>10</v>
      </c>
      <c r="C614">
        <v>61</v>
      </c>
      <c r="D614" s="1" t="s">
        <v>13</v>
      </c>
      <c r="E614" s="1" t="s">
        <v>12</v>
      </c>
      <c r="F614" s="1" t="s">
        <v>14</v>
      </c>
    </row>
    <row r="615" spans="1:6">
      <c r="A615">
        <v>1614</v>
      </c>
      <c r="B615" s="1" t="s">
        <v>6</v>
      </c>
      <c r="C615">
        <v>37</v>
      </c>
      <c r="D615" s="1" t="s">
        <v>11</v>
      </c>
      <c r="E615" s="1" t="s">
        <v>12</v>
      </c>
      <c r="F615" s="1" t="s">
        <v>14</v>
      </c>
    </row>
    <row r="616" spans="1:6">
      <c r="A616">
        <v>1615</v>
      </c>
      <c r="B616" s="1" t="s">
        <v>10</v>
      </c>
      <c r="C616">
        <v>31</v>
      </c>
      <c r="D616" s="1" t="s">
        <v>18</v>
      </c>
      <c r="E616" s="1" t="s">
        <v>12</v>
      </c>
      <c r="F616" s="1" t="s">
        <v>15</v>
      </c>
    </row>
    <row r="617" spans="1:6">
      <c r="A617">
        <v>1616</v>
      </c>
      <c r="B617" s="1" t="s">
        <v>10</v>
      </c>
      <c r="C617">
        <v>19</v>
      </c>
      <c r="D617" s="1" t="s">
        <v>11</v>
      </c>
      <c r="E617" s="1" t="s">
        <v>8</v>
      </c>
      <c r="F617" s="1" t="s">
        <v>15</v>
      </c>
    </row>
    <row r="618" spans="1:6">
      <c r="A618">
        <v>1617</v>
      </c>
      <c r="B618" s="1" t="s">
        <v>6</v>
      </c>
      <c r="C618">
        <v>26</v>
      </c>
      <c r="D618" s="1" t="s">
        <v>11</v>
      </c>
      <c r="E618" s="1" t="s">
        <v>8</v>
      </c>
      <c r="F618" s="1" t="s">
        <v>9</v>
      </c>
    </row>
    <row r="619" spans="1:6">
      <c r="A619">
        <v>1618</v>
      </c>
      <c r="B619" s="1" t="s">
        <v>6</v>
      </c>
      <c r="C619">
        <v>54</v>
      </c>
      <c r="D619" s="1" t="s">
        <v>16</v>
      </c>
      <c r="E619" s="1" t="s">
        <v>12</v>
      </c>
      <c r="F619" s="1" t="s">
        <v>15</v>
      </c>
    </row>
    <row r="620" spans="1:6">
      <c r="A620">
        <v>1619</v>
      </c>
      <c r="B620" s="1" t="s">
        <v>10</v>
      </c>
      <c r="C620">
        <v>37</v>
      </c>
      <c r="D620" s="1" t="s">
        <v>16</v>
      </c>
      <c r="E620" s="1" t="s">
        <v>8</v>
      </c>
      <c r="F620" s="1" t="s">
        <v>9</v>
      </c>
    </row>
    <row r="621" spans="1:6">
      <c r="A621">
        <v>1620</v>
      </c>
      <c r="B621" s="1" t="s">
        <v>10</v>
      </c>
      <c r="C621">
        <v>43</v>
      </c>
      <c r="D621" s="1" t="s">
        <v>16</v>
      </c>
      <c r="E621" s="1" t="s">
        <v>8</v>
      </c>
      <c r="F621" s="1" t="s">
        <v>14</v>
      </c>
    </row>
    <row r="622" spans="1:6">
      <c r="A622">
        <v>1621</v>
      </c>
      <c r="B622" s="1" t="s">
        <v>6</v>
      </c>
      <c r="C622">
        <v>46</v>
      </c>
      <c r="D622" s="1" t="s">
        <v>11</v>
      </c>
      <c r="E622" s="1" t="s">
        <v>19</v>
      </c>
      <c r="F622" s="1" t="s">
        <v>9</v>
      </c>
    </row>
    <row r="623" spans="1:6">
      <c r="A623">
        <v>1622</v>
      </c>
      <c r="B623" s="1" t="s">
        <v>6</v>
      </c>
      <c r="C623">
        <v>18</v>
      </c>
      <c r="D623" s="1" t="s">
        <v>16</v>
      </c>
      <c r="E623" s="1" t="s">
        <v>19</v>
      </c>
      <c r="F623" s="1" t="s">
        <v>9</v>
      </c>
    </row>
    <row r="624" spans="1:6">
      <c r="A624">
        <v>1623</v>
      </c>
      <c r="B624" s="1" t="s">
        <v>6</v>
      </c>
      <c r="C624">
        <v>52</v>
      </c>
      <c r="D624" s="1" t="s">
        <v>16</v>
      </c>
      <c r="E624" s="1" t="s">
        <v>8</v>
      </c>
      <c r="F624" s="1" t="s">
        <v>14</v>
      </c>
    </row>
    <row r="625" spans="1:6">
      <c r="A625">
        <v>1624</v>
      </c>
      <c r="B625" s="1" t="s">
        <v>6</v>
      </c>
      <c r="C625">
        <v>23</v>
      </c>
      <c r="D625" s="1" t="s">
        <v>16</v>
      </c>
      <c r="E625" s="1" t="s">
        <v>8</v>
      </c>
      <c r="F625" s="1" t="s">
        <v>14</v>
      </c>
    </row>
    <row r="626" spans="1:6">
      <c r="A626">
        <v>1625</v>
      </c>
      <c r="B626" s="1" t="s">
        <v>10</v>
      </c>
      <c r="C626">
        <v>54</v>
      </c>
      <c r="D626" s="1" t="s">
        <v>13</v>
      </c>
      <c r="E626" s="1" t="s">
        <v>8</v>
      </c>
      <c r="F626" s="1" t="s">
        <v>17</v>
      </c>
    </row>
    <row r="627" spans="1:6">
      <c r="A627">
        <v>1626</v>
      </c>
      <c r="B627" s="1" t="s">
        <v>6</v>
      </c>
      <c r="C627">
        <v>22</v>
      </c>
      <c r="D627" s="1" t="s">
        <v>16</v>
      </c>
      <c r="E627" s="1" t="s">
        <v>12</v>
      </c>
      <c r="F627" s="1" t="s">
        <v>14</v>
      </c>
    </row>
    <row r="628" spans="1:6">
      <c r="A628">
        <v>1627</v>
      </c>
      <c r="B628" s="1" t="s">
        <v>6</v>
      </c>
      <c r="C628">
        <v>50</v>
      </c>
      <c r="D628" s="1" t="s">
        <v>11</v>
      </c>
      <c r="E628" s="1" t="s">
        <v>19</v>
      </c>
      <c r="F628" s="1" t="s">
        <v>15</v>
      </c>
    </row>
    <row r="629" spans="1:6">
      <c r="A629">
        <v>1628</v>
      </c>
      <c r="B629" s="1" t="s">
        <v>10</v>
      </c>
      <c r="C629">
        <v>31</v>
      </c>
      <c r="D629" s="1" t="s">
        <v>16</v>
      </c>
      <c r="E629" s="1" t="s">
        <v>8</v>
      </c>
      <c r="F629" s="1" t="s">
        <v>17</v>
      </c>
    </row>
    <row r="630" spans="1:6">
      <c r="A630">
        <v>1629</v>
      </c>
      <c r="B630" s="1" t="s">
        <v>6</v>
      </c>
      <c r="C630">
        <v>29</v>
      </c>
      <c r="D630" s="1" t="s">
        <v>11</v>
      </c>
      <c r="E630" s="1" t="s">
        <v>8</v>
      </c>
      <c r="F630" s="1" t="s">
        <v>15</v>
      </c>
    </row>
    <row r="631" spans="1:6">
      <c r="A631">
        <v>1630</v>
      </c>
      <c r="B631" s="1" t="s">
        <v>6</v>
      </c>
      <c r="C631">
        <v>59</v>
      </c>
      <c r="D631" s="1" t="s">
        <v>16</v>
      </c>
      <c r="E631" s="1" t="s">
        <v>19</v>
      </c>
      <c r="F631" s="1" t="s">
        <v>9</v>
      </c>
    </row>
    <row r="632" spans="1:6">
      <c r="A632">
        <v>1631</v>
      </c>
      <c r="B632" s="1" t="s">
        <v>10</v>
      </c>
      <c r="C632">
        <v>37</v>
      </c>
      <c r="D632" s="1" t="s">
        <v>16</v>
      </c>
      <c r="E632" s="1" t="s">
        <v>8</v>
      </c>
      <c r="F632" s="1" t="s">
        <v>14</v>
      </c>
    </row>
    <row r="633" spans="1:6">
      <c r="A633">
        <v>1632</v>
      </c>
      <c r="B633" s="1" t="s">
        <v>10</v>
      </c>
      <c r="C633">
        <v>41</v>
      </c>
      <c r="D633" s="1" t="s">
        <v>11</v>
      </c>
      <c r="E633" s="1" t="s">
        <v>12</v>
      </c>
      <c r="F633" s="1" t="s">
        <v>20</v>
      </c>
    </row>
    <row r="634" spans="1:6">
      <c r="A634">
        <v>1633</v>
      </c>
      <c r="B634" s="1" t="s">
        <v>6</v>
      </c>
      <c r="C634">
        <v>60</v>
      </c>
      <c r="D634" s="1" t="s">
        <v>16</v>
      </c>
      <c r="E634" s="1" t="s">
        <v>19</v>
      </c>
      <c r="F634" s="1" t="s">
        <v>15</v>
      </c>
    </row>
    <row r="635" spans="1:6">
      <c r="A635">
        <v>1634</v>
      </c>
      <c r="B635" s="1" t="s">
        <v>10</v>
      </c>
      <c r="C635">
        <v>51</v>
      </c>
      <c r="D635" s="1" t="s">
        <v>16</v>
      </c>
      <c r="E635" s="1" t="s">
        <v>8</v>
      </c>
      <c r="F635" s="1" t="s">
        <v>9</v>
      </c>
    </row>
    <row r="636" spans="1:6">
      <c r="A636">
        <v>1635</v>
      </c>
      <c r="B636" s="1" t="s">
        <v>6</v>
      </c>
      <c r="C636">
        <v>42</v>
      </c>
      <c r="D636" s="1" t="s">
        <v>16</v>
      </c>
      <c r="E636" s="1" t="s">
        <v>12</v>
      </c>
      <c r="F636" s="1" t="s">
        <v>9</v>
      </c>
    </row>
    <row r="637" spans="1:6">
      <c r="A637">
        <v>1636</v>
      </c>
      <c r="B637" s="1" t="s">
        <v>6</v>
      </c>
      <c r="C637">
        <v>46</v>
      </c>
      <c r="D637" s="1" t="s">
        <v>16</v>
      </c>
      <c r="E637" s="1" t="s">
        <v>8</v>
      </c>
      <c r="F637" s="1" t="s">
        <v>9</v>
      </c>
    </row>
    <row r="638" spans="1:6">
      <c r="A638">
        <v>1637</v>
      </c>
      <c r="B638" s="1" t="s">
        <v>10</v>
      </c>
      <c r="C638">
        <v>56</v>
      </c>
      <c r="D638" s="1" t="s">
        <v>16</v>
      </c>
      <c r="E638" s="1" t="s">
        <v>8</v>
      </c>
      <c r="F638" s="1" t="s">
        <v>15</v>
      </c>
    </row>
    <row r="639" spans="1:6">
      <c r="A639">
        <v>1638</v>
      </c>
      <c r="B639" s="1" t="s">
        <v>6</v>
      </c>
      <c r="C639">
        <v>48</v>
      </c>
      <c r="D639" s="1" t="s">
        <v>16</v>
      </c>
      <c r="E639" s="1" t="s">
        <v>12</v>
      </c>
      <c r="F639" s="1" t="s">
        <v>14</v>
      </c>
    </row>
    <row r="640" spans="1:6">
      <c r="A640">
        <v>1639</v>
      </c>
      <c r="B640" s="1" t="s">
        <v>6</v>
      </c>
      <c r="C640">
        <v>64</v>
      </c>
      <c r="D640" s="1" t="s">
        <v>7</v>
      </c>
      <c r="E640" s="1" t="s">
        <v>8</v>
      </c>
      <c r="F640" s="1" t="s">
        <v>9</v>
      </c>
    </row>
    <row r="641" spans="1:6">
      <c r="A641">
        <v>1640</v>
      </c>
      <c r="B641" s="1" t="s">
        <v>6</v>
      </c>
      <c r="C641">
        <v>60</v>
      </c>
      <c r="D641" s="1" t="s">
        <v>11</v>
      </c>
      <c r="E641" s="1" t="s">
        <v>19</v>
      </c>
      <c r="F641" s="1" t="s">
        <v>20</v>
      </c>
    </row>
    <row r="642" spans="1:6">
      <c r="A642">
        <v>1641</v>
      </c>
      <c r="B642" s="1" t="s">
        <v>6</v>
      </c>
      <c r="C642">
        <v>40</v>
      </c>
      <c r="D642" s="1" t="s">
        <v>11</v>
      </c>
      <c r="E642" s="1" t="s">
        <v>12</v>
      </c>
      <c r="F642" s="1" t="s">
        <v>17</v>
      </c>
    </row>
    <row r="643" spans="1:6">
      <c r="A643">
        <v>1642</v>
      </c>
      <c r="B643" s="1" t="s">
        <v>6</v>
      </c>
      <c r="C643">
        <v>61</v>
      </c>
      <c r="D643" s="1" t="s">
        <v>16</v>
      </c>
      <c r="E643" s="1" t="s">
        <v>8</v>
      </c>
      <c r="F643" s="1" t="s">
        <v>14</v>
      </c>
    </row>
    <row r="644" spans="1:6">
      <c r="A644">
        <v>1643</v>
      </c>
      <c r="B644" s="1" t="s">
        <v>6</v>
      </c>
      <c r="C644">
        <v>55</v>
      </c>
      <c r="D644" s="1" t="s">
        <v>13</v>
      </c>
      <c r="E644" s="1" t="s">
        <v>8</v>
      </c>
      <c r="F644" s="1" t="s">
        <v>17</v>
      </c>
    </row>
    <row r="645" spans="1:6">
      <c r="A645">
        <v>1644</v>
      </c>
      <c r="B645" s="1" t="s">
        <v>6</v>
      </c>
      <c r="C645">
        <v>37</v>
      </c>
      <c r="D645" s="1" t="s">
        <v>16</v>
      </c>
      <c r="E645" s="1" t="s">
        <v>8</v>
      </c>
      <c r="F645" s="1" t="s">
        <v>9</v>
      </c>
    </row>
    <row r="646" spans="1:6">
      <c r="A646">
        <v>1645</v>
      </c>
      <c r="B646" s="1" t="s">
        <v>6</v>
      </c>
      <c r="C646">
        <v>40</v>
      </c>
      <c r="D646" s="1" t="s">
        <v>16</v>
      </c>
      <c r="E646" s="1" t="s">
        <v>8</v>
      </c>
      <c r="F646" s="1" t="s">
        <v>15</v>
      </c>
    </row>
    <row r="647" spans="1:6">
      <c r="A647">
        <v>1646</v>
      </c>
      <c r="B647" s="1" t="s">
        <v>10</v>
      </c>
      <c r="C647">
        <v>62</v>
      </c>
      <c r="D647" s="1" t="s">
        <v>11</v>
      </c>
      <c r="E647" s="1" t="s">
        <v>8</v>
      </c>
      <c r="F647" s="1" t="s">
        <v>14</v>
      </c>
    </row>
    <row r="648" spans="1:6">
      <c r="A648">
        <v>1647</v>
      </c>
      <c r="B648" s="1" t="s">
        <v>10</v>
      </c>
      <c r="C648">
        <v>33</v>
      </c>
      <c r="D648" s="1" t="s">
        <v>16</v>
      </c>
      <c r="E648" s="1" t="s">
        <v>8</v>
      </c>
      <c r="F648" s="1" t="s">
        <v>17</v>
      </c>
    </row>
    <row r="649" spans="1:6">
      <c r="A649">
        <v>1648</v>
      </c>
      <c r="B649" s="1" t="s">
        <v>10</v>
      </c>
      <c r="C649">
        <v>59</v>
      </c>
      <c r="D649" s="1" t="s">
        <v>16</v>
      </c>
      <c r="E649" s="1" t="s">
        <v>8</v>
      </c>
      <c r="F649" s="1" t="s">
        <v>17</v>
      </c>
    </row>
    <row r="650" spans="1:6">
      <c r="A650">
        <v>1649</v>
      </c>
      <c r="B650" s="1" t="s">
        <v>10</v>
      </c>
      <c r="C650">
        <v>25</v>
      </c>
      <c r="D650" s="1" t="s">
        <v>11</v>
      </c>
      <c r="E650" s="1" t="s">
        <v>12</v>
      </c>
      <c r="F650" s="1" t="s">
        <v>9</v>
      </c>
    </row>
    <row r="651" spans="1:6">
      <c r="A651">
        <v>1650</v>
      </c>
      <c r="B651" s="1" t="s">
        <v>6</v>
      </c>
      <c r="C651">
        <v>38</v>
      </c>
      <c r="D651" s="1" t="s">
        <v>7</v>
      </c>
      <c r="E651" s="1" t="s">
        <v>12</v>
      </c>
      <c r="F651" s="1" t="s">
        <v>20</v>
      </c>
    </row>
    <row r="652" spans="1:6">
      <c r="A652">
        <v>1651</v>
      </c>
      <c r="B652" s="1" t="s">
        <v>6</v>
      </c>
      <c r="C652">
        <v>18</v>
      </c>
      <c r="D652" s="1" t="s">
        <v>11</v>
      </c>
      <c r="E652" s="1" t="s">
        <v>12</v>
      </c>
      <c r="F652" s="1" t="s">
        <v>9</v>
      </c>
    </row>
    <row r="653" spans="1:6">
      <c r="A653">
        <v>1652</v>
      </c>
      <c r="B653" s="1" t="s">
        <v>10</v>
      </c>
      <c r="C653">
        <v>25</v>
      </c>
      <c r="D653" s="1" t="s">
        <v>18</v>
      </c>
      <c r="E653" s="1" t="s">
        <v>8</v>
      </c>
      <c r="F653" s="1" t="s">
        <v>17</v>
      </c>
    </row>
    <row r="654" spans="1:6">
      <c r="A654">
        <v>1653</v>
      </c>
      <c r="B654" s="1" t="s">
        <v>10</v>
      </c>
      <c r="C654">
        <v>46</v>
      </c>
      <c r="D654" s="1" t="s">
        <v>13</v>
      </c>
      <c r="E654" s="1" t="s">
        <v>8</v>
      </c>
      <c r="F654" s="1" t="s">
        <v>20</v>
      </c>
    </row>
    <row r="655" spans="1:6">
      <c r="A655">
        <v>1654</v>
      </c>
      <c r="B655" s="1" t="s">
        <v>10</v>
      </c>
      <c r="C655">
        <v>49</v>
      </c>
      <c r="D655" s="1" t="s">
        <v>16</v>
      </c>
      <c r="E655" s="1" t="s">
        <v>12</v>
      </c>
      <c r="F655" s="1" t="s">
        <v>9</v>
      </c>
    </row>
    <row r="656" spans="1:6">
      <c r="A656">
        <v>1655</v>
      </c>
      <c r="B656" s="1" t="s">
        <v>6</v>
      </c>
      <c r="C656">
        <v>55</v>
      </c>
      <c r="D656" s="1" t="s">
        <v>16</v>
      </c>
      <c r="E656" s="1" t="s">
        <v>8</v>
      </c>
      <c r="F656" s="1" t="s">
        <v>14</v>
      </c>
    </row>
    <row r="657" spans="1:6">
      <c r="A657">
        <v>1656</v>
      </c>
      <c r="B657" s="1" t="s">
        <v>6</v>
      </c>
      <c r="C657">
        <v>22</v>
      </c>
      <c r="D657" s="1" t="s">
        <v>16</v>
      </c>
      <c r="E657" s="1" t="s">
        <v>8</v>
      </c>
      <c r="F657" s="1" t="s">
        <v>9</v>
      </c>
    </row>
    <row r="658" spans="1:6">
      <c r="A658">
        <v>1657</v>
      </c>
      <c r="B658" s="1" t="s">
        <v>6</v>
      </c>
      <c r="C658">
        <v>64</v>
      </c>
      <c r="D658" s="1" t="s">
        <v>11</v>
      </c>
      <c r="E658" s="1" t="s">
        <v>12</v>
      </c>
      <c r="F658" s="1" t="s">
        <v>15</v>
      </c>
    </row>
    <row r="659" spans="1:6">
      <c r="A659">
        <v>1658</v>
      </c>
      <c r="B659" s="1" t="s">
        <v>6</v>
      </c>
      <c r="C659">
        <v>39</v>
      </c>
      <c r="D659" s="1" t="s">
        <v>11</v>
      </c>
      <c r="E659" s="1" t="s">
        <v>12</v>
      </c>
      <c r="F659" s="1" t="s">
        <v>15</v>
      </c>
    </row>
    <row r="660" spans="1:6">
      <c r="A660">
        <v>1659</v>
      </c>
      <c r="B660" s="1" t="s">
        <v>10</v>
      </c>
      <c r="C660">
        <v>64</v>
      </c>
      <c r="D660" s="1" t="s">
        <v>7</v>
      </c>
      <c r="E660" s="1" t="s">
        <v>12</v>
      </c>
      <c r="F660" s="1" t="s">
        <v>14</v>
      </c>
    </row>
    <row r="661" spans="1:6">
      <c r="A661">
        <v>1660</v>
      </c>
      <c r="B661" s="1" t="s">
        <v>10</v>
      </c>
      <c r="C661">
        <v>51</v>
      </c>
      <c r="D661" s="1" t="s">
        <v>18</v>
      </c>
      <c r="E661" s="1" t="s">
        <v>8</v>
      </c>
      <c r="F661" s="1" t="s">
        <v>20</v>
      </c>
    </row>
    <row r="662" spans="1:6">
      <c r="A662">
        <v>1661</v>
      </c>
      <c r="B662" s="1" t="s">
        <v>6</v>
      </c>
      <c r="C662">
        <v>18</v>
      </c>
      <c r="D662" s="1" t="s">
        <v>11</v>
      </c>
      <c r="E662" s="1" t="s">
        <v>12</v>
      </c>
      <c r="F662" s="1" t="s">
        <v>14</v>
      </c>
    </row>
    <row r="663" spans="1:6">
      <c r="A663">
        <v>1662</v>
      </c>
      <c r="B663" s="1" t="s">
        <v>10</v>
      </c>
      <c r="C663">
        <v>43</v>
      </c>
      <c r="D663" s="1" t="s">
        <v>16</v>
      </c>
      <c r="E663" s="1" t="s">
        <v>12</v>
      </c>
      <c r="F663" s="1" t="s">
        <v>15</v>
      </c>
    </row>
    <row r="664" spans="1:6">
      <c r="A664">
        <v>1663</v>
      </c>
      <c r="B664" s="1" t="s">
        <v>10</v>
      </c>
      <c r="C664">
        <v>60</v>
      </c>
      <c r="D664" s="1" t="s">
        <v>7</v>
      </c>
      <c r="E664" s="1" t="s">
        <v>12</v>
      </c>
      <c r="F664" s="1" t="s">
        <v>17</v>
      </c>
    </row>
    <row r="665" spans="1:6">
      <c r="A665">
        <v>1664</v>
      </c>
      <c r="B665" s="1" t="s">
        <v>6</v>
      </c>
      <c r="C665">
        <v>27</v>
      </c>
      <c r="D665" s="1" t="s">
        <v>13</v>
      </c>
      <c r="E665" s="1" t="s">
        <v>12</v>
      </c>
      <c r="F665" s="1" t="s">
        <v>20</v>
      </c>
    </row>
    <row r="666" spans="1:6">
      <c r="A666">
        <v>1665</v>
      </c>
      <c r="B666" s="1" t="s">
        <v>6</v>
      </c>
      <c r="C666">
        <v>47</v>
      </c>
      <c r="D666" s="1" t="s">
        <v>7</v>
      </c>
      <c r="E666" s="1" t="s">
        <v>12</v>
      </c>
      <c r="F666" s="1" t="s">
        <v>9</v>
      </c>
    </row>
    <row r="667" spans="1:6">
      <c r="A667">
        <v>1666</v>
      </c>
      <c r="B667" s="1" t="s">
        <v>6</v>
      </c>
      <c r="C667">
        <v>35</v>
      </c>
      <c r="D667" s="1" t="s">
        <v>16</v>
      </c>
      <c r="E667" s="1" t="s">
        <v>12</v>
      </c>
      <c r="F667" s="1" t="s">
        <v>20</v>
      </c>
    </row>
    <row r="668" spans="1:6">
      <c r="A668">
        <v>1667</v>
      </c>
      <c r="B668" s="1" t="s">
        <v>6</v>
      </c>
      <c r="C668">
        <v>34</v>
      </c>
      <c r="D668" s="1" t="s">
        <v>11</v>
      </c>
      <c r="E668" s="1" t="s">
        <v>8</v>
      </c>
      <c r="F668" s="1" t="s">
        <v>9</v>
      </c>
    </row>
    <row r="669" spans="1:6">
      <c r="A669">
        <v>1668</v>
      </c>
      <c r="B669" s="1" t="s">
        <v>6</v>
      </c>
      <c r="C669">
        <v>43</v>
      </c>
      <c r="D669" s="1" t="s">
        <v>16</v>
      </c>
      <c r="E669" s="1" t="s">
        <v>12</v>
      </c>
      <c r="F669" s="1" t="s">
        <v>17</v>
      </c>
    </row>
    <row r="670" spans="1:6">
      <c r="A670">
        <v>1669</v>
      </c>
      <c r="B670" s="1" t="s">
        <v>6</v>
      </c>
      <c r="C670">
        <v>25</v>
      </c>
      <c r="D670" s="1" t="s">
        <v>16</v>
      </c>
      <c r="E670" s="1" t="s">
        <v>12</v>
      </c>
      <c r="F670" s="1" t="s">
        <v>9</v>
      </c>
    </row>
    <row r="671" spans="1:6">
      <c r="A671">
        <v>1670</v>
      </c>
      <c r="B671" s="1" t="s">
        <v>6</v>
      </c>
      <c r="C671">
        <v>64</v>
      </c>
      <c r="D671" s="1" t="s">
        <v>16</v>
      </c>
      <c r="E671" s="1" t="s">
        <v>12</v>
      </c>
      <c r="F671" s="1" t="s">
        <v>9</v>
      </c>
    </row>
    <row r="672" spans="1:6">
      <c r="A672">
        <v>1671</v>
      </c>
      <c r="B672" s="1" t="s">
        <v>6</v>
      </c>
      <c r="C672">
        <v>57</v>
      </c>
      <c r="D672" s="1" t="s">
        <v>11</v>
      </c>
      <c r="E672" s="1" t="s">
        <v>8</v>
      </c>
      <c r="F672" s="1" t="s">
        <v>15</v>
      </c>
    </row>
    <row r="673" spans="1:6">
      <c r="A673">
        <v>1672</v>
      </c>
      <c r="B673" s="1" t="s">
        <v>10</v>
      </c>
      <c r="C673">
        <v>29</v>
      </c>
      <c r="D673" s="1" t="s">
        <v>18</v>
      </c>
      <c r="E673" s="1" t="s">
        <v>8</v>
      </c>
      <c r="F673" s="1" t="s">
        <v>14</v>
      </c>
    </row>
    <row r="674" spans="1:6">
      <c r="A674">
        <v>1673</v>
      </c>
      <c r="B674" s="1" t="s">
        <v>6</v>
      </c>
      <c r="C674">
        <v>44</v>
      </c>
      <c r="D674" s="1" t="s">
        <v>16</v>
      </c>
      <c r="E674" s="1" t="s">
        <v>19</v>
      </c>
      <c r="F674" s="1" t="s">
        <v>15</v>
      </c>
    </row>
    <row r="675" spans="1:6">
      <c r="A675">
        <v>1674</v>
      </c>
      <c r="B675" s="1" t="s">
        <v>10</v>
      </c>
      <c r="C675">
        <v>25</v>
      </c>
      <c r="D675" s="1" t="s">
        <v>16</v>
      </c>
      <c r="E675" s="1" t="s">
        <v>12</v>
      </c>
      <c r="F675" s="1" t="s">
        <v>9</v>
      </c>
    </row>
    <row r="676" spans="1:6">
      <c r="A676">
        <v>1675</v>
      </c>
      <c r="B676" s="1" t="s">
        <v>6</v>
      </c>
      <c r="C676">
        <v>42</v>
      </c>
      <c r="D676" s="1" t="s">
        <v>11</v>
      </c>
      <c r="E676" s="1" t="s">
        <v>19</v>
      </c>
      <c r="F676" s="1" t="s">
        <v>14</v>
      </c>
    </row>
    <row r="677" spans="1:6">
      <c r="A677">
        <v>1676</v>
      </c>
      <c r="B677" s="1" t="s">
        <v>10</v>
      </c>
      <c r="C677">
        <v>63</v>
      </c>
      <c r="D677" s="1" t="s">
        <v>16</v>
      </c>
      <c r="E677" s="1" t="s">
        <v>12</v>
      </c>
      <c r="F677" s="1" t="s">
        <v>20</v>
      </c>
    </row>
    <row r="678" spans="1:6">
      <c r="A678">
        <v>1677</v>
      </c>
      <c r="B678" s="1" t="s">
        <v>6</v>
      </c>
      <c r="C678">
        <v>21</v>
      </c>
      <c r="D678" s="1" t="s">
        <v>16</v>
      </c>
      <c r="E678" s="1" t="s">
        <v>12</v>
      </c>
      <c r="F678" s="1" t="s">
        <v>15</v>
      </c>
    </row>
    <row r="679" spans="1:6">
      <c r="A679">
        <v>1678</v>
      </c>
      <c r="B679" s="1" t="s">
        <v>6</v>
      </c>
      <c r="C679">
        <v>50</v>
      </c>
      <c r="D679" s="1" t="s">
        <v>11</v>
      </c>
      <c r="E679" s="1" t="s">
        <v>12</v>
      </c>
      <c r="F679" s="1" t="s">
        <v>9</v>
      </c>
    </row>
    <row r="680" spans="1:6">
      <c r="A680">
        <v>1679</v>
      </c>
      <c r="B680" s="1" t="s">
        <v>10</v>
      </c>
      <c r="C680">
        <v>18</v>
      </c>
      <c r="D680" s="1" t="s">
        <v>18</v>
      </c>
      <c r="E680" s="1" t="s">
        <v>19</v>
      </c>
      <c r="F680" s="1" t="s">
        <v>15</v>
      </c>
    </row>
    <row r="681" spans="1:6">
      <c r="A681">
        <v>1680</v>
      </c>
      <c r="B681" s="1" t="s">
        <v>10</v>
      </c>
      <c r="C681">
        <v>36</v>
      </c>
      <c r="D681" s="1" t="s">
        <v>16</v>
      </c>
      <c r="E681" s="1" t="s">
        <v>12</v>
      </c>
      <c r="F681" s="1" t="s">
        <v>9</v>
      </c>
    </row>
    <row r="682" spans="1:6">
      <c r="A682">
        <v>1681</v>
      </c>
      <c r="B682" s="1" t="s">
        <v>10</v>
      </c>
      <c r="C682">
        <v>48</v>
      </c>
      <c r="D682" s="1" t="s">
        <v>16</v>
      </c>
      <c r="E682" s="1" t="s">
        <v>12</v>
      </c>
      <c r="F682" s="1" t="s">
        <v>17</v>
      </c>
    </row>
    <row r="683" spans="1:6">
      <c r="A683">
        <v>1682</v>
      </c>
      <c r="B683" s="1" t="s">
        <v>6</v>
      </c>
      <c r="C683">
        <v>33</v>
      </c>
      <c r="D683" s="1" t="s">
        <v>16</v>
      </c>
      <c r="E683" s="1" t="s">
        <v>8</v>
      </c>
      <c r="F683" s="1" t="s">
        <v>17</v>
      </c>
    </row>
    <row r="684" spans="1:6">
      <c r="A684">
        <v>1683</v>
      </c>
      <c r="B684" s="1" t="s">
        <v>6</v>
      </c>
      <c r="C684">
        <v>31</v>
      </c>
      <c r="D684" s="1" t="s">
        <v>13</v>
      </c>
      <c r="E684" s="1" t="s">
        <v>8</v>
      </c>
      <c r="F684" s="1" t="s">
        <v>14</v>
      </c>
    </row>
    <row r="685" spans="1:6">
      <c r="A685">
        <v>1684</v>
      </c>
      <c r="B685" s="1" t="s">
        <v>10</v>
      </c>
      <c r="C685">
        <v>22</v>
      </c>
      <c r="D685" s="1" t="s">
        <v>18</v>
      </c>
      <c r="E685" s="1" t="s">
        <v>12</v>
      </c>
      <c r="F685" s="1" t="s">
        <v>15</v>
      </c>
    </row>
    <row r="686" spans="1:6">
      <c r="A686">
        <v>1685</v>
      </c>
      <c r="B686" s="1" t="s">
        <v>10</v>
      </c>
      <c r="C686">
        <v>58</v>
      </c>
      <c r="D686" s="1" t="s">
        <v>18</v>
      </c>
      <c r="E686" s="1" t="s">
        <v>8</v>
      </c>
      <c r="F686" s="1" t="s">
        <v>17</v>
      </c>
    </row>
    <row r="687" spans="1:6">
      <c r="A687">
        <v>1686</v>
      </c>
      <c r="B687" s="1" t="s">
        <v>10</v>
      </c>
      <c r="C687">
        <v>43</v>
      </c>
      <c r="D687" s="1" t="s">
        <v>16</v>
      </c>
      <c r="E687" s="1" t="s">
        <v>8</v>
      </c>
      <c r="F687" s="1" t="s">
        <v>14</v>
      </c>
    </row>
    <row r="688" spans="1:6">
      <c r="A688">
        <v>1687</v>
      </c>
      <c r="B688" s="1" t="s">
        <v>10</v>
      </c>
      <c r="C688">
        <v>45</v>
      </c>
      <c r="D688" s="1" t="s">
        <v>11</v>
      </c>
      <c r="E688" s="1" t="s">
        <v>8</v>
      </c>
      <c r="F688" s="1" t="s">
        <v>17</v>
      </c>
    </row>
    <row r="689" spans="1:6">
      <c r="A689">
        <v>1688</v>
      </c>
      <c r="B689" s="1" t="s">
        <v>6</v>
      </c>
      <c r="C689">
        <v>19</v>
      </c>
      <c r="D689" s="1" t="s">
        <v>16</v>
      </c>
      <c r="E689" s="1" t="s">
        <v>8</v>
      </c>
      <c r="F689" s="1" t="s">
        <v>14</v>
      </c>
    </row>
    <row r="690" spans="1:6">
      <c r="A690">
        <v>1689</v>
      </c>
      <c r="B690" s="1" t="s">
        <v>10</v>
      </c>
      <c r="C690">
        <v>23</v>
      </c>
      <c r="D690" s="1" t="s">
        <v>11</v>
      </c>
      <c r="E690" s="1" t="s">
        <v>8</v>
      </c>
      <c r="F690" s="1" t="s">
        <v>17</v>
      </c>
    </row>
    <row r="691" spans="1:6">
      <c r="A691">
        <v>1690</v>
      </c>
      <c r="B691" s="1" t="s">
        <v>6</v>
      </c>
      <c r="C691">
        <v>26</v>
      </c>
      <c r="D691" s="1" t="s">
        <v>7</v>
      </c>
      <c r="E691" s="1" t="s">
        <v>8</v>
      </c>
      <c r="F691" s="1" t="s">
        <v>14</v>
      </c>
    </row>
    <row r="692" spans="1:6">
      <c r="A692">
        <v>1691</v>
      </c>
      <c r="B692" s="1" t="s">
        <v>6</v>
      </c>
      <c r="C692">
        <v>50</v>
      </c>
      <c r="D692" s="1" t="s">
        <v>11</v>
      </c>
      <c r="E692" s="1" t="s">
        <v>19</v>
      </c>
      <c r="F692" s="1" t="s">
        <v>15</v>
      </c>
    </row>
    <row r="693" spans="1:6">
      <c r="A693">
        <v>1692</v>
      </c>
      <c r="B693" s="1" t="s">
        <v>6</v>
      </c>
      <c r="C693">
        <v>58</v>
      </c>
      <c r="D693" s="1" t="s">
        <v>7</v>
      </c>
      <c r="E693" s="1" t="s">
        <v>12</v>
      </c>
      <c r="F693" s="1" t="s">
        <v>20</v>
      </c>
    </row>
    <row r="694" spans="1:6">
      <c r="A694">
        <v>1693</v>
      </c>
      <c r="B694" s="1" t="s">
        <v>6</v>
      </c>
      <c r="C694">
        <v>42</v>
      </c>
      <c r="D694" s="1" t="s">
        <v>18</v>
      </c>
      <c r="E694" s="1" t="s">
        <v>8</v>
      </c>
      <c r="F694" s="1" t="s">
        <v>15</v>
      </c>
    </row>
    <row r="695" spans="1:6">
      <c r="A695">
        <v>1694</v>
      </c>
      <c r="B695" s="1" t="s">
        <v>6</v>
      </c>
      <c r="C695">
        <v>30</v>
      </c>
      <c r="D695" s="1" t="s">
        <v>16</v>
      </c>
      <c r="E695" s="1" t="s">
        <v>8</v>
      </c>
      <c r="F695" s="1" t="s">
        <v>14</v>
      </c>
    </row>
    <row r="696" spans="1:6">
      <c r="A696">
        <v>1695</v>
      </c>
      <c r="B696" s="1" t="s">
        <v>6</v>
      </c>
      <c r="C696">
        <v>26</v>
      </c>
      <c r="D696" s="1" t="s">
        <v>7</v>
      </c>
      <c r="E696" s="1" t="s">
        <v>12</v>
      </c>
      <c r="F696" s="1" t="s">
        <v>9</v>
      </c>
    </row>
    <row r="697" spans="1:6">
      <c r="A697">
        <v>1696</v>
      </c>
      <c r="B697" s="1" t="s">
        <v>10</v>
      </c>
      <c r="C697">
        <v>30</v>
      </c>
      <c r="D697" s="1" t="s">
        <v>16</v>
      </c>
      <c r="E697" s="1" t="s">
        <v>8</v>
      </c>
      <c r="F697" s="1" t="s">
        <v>14</v>
      </c>
    </row>
    <row r="698" spans="1:6">
      <c r="A698">
        <v>1697</v>
      </c>
      <c r="B698" s="1" t="s">
        <v>6</v>
      </c>
      <c r="C698">
        <v>48</v>
      </c>
      <c r="D698" s="1" t="s">
        <v>11</v>
      </c>
      <c r="E698" s="1" t="s">
        <v>12</v>
      </c>
      <c r="F698" s="1" t="s">
        <v>14</v>
      </c>
    </row>
    <row r="699" spans="1:6">
      <c r="A699">
        <v>1698</v>
      </c>
      <c r="B699" s="1" t="s">
        <v>10</v>
      </c>
      <c r="C699">
        <v>58</v>
      </c>
      <c r="D699" s="1" t="s">
        <v>16</v>
      </c>
      <c r="E699" s="1" t="s">
        <v>12</v>
      </c>
      <c r="F699" s="1" t="s">
        <v>9</v>
      </c>
    </row>
    <row r="700" spans="1:6">
      <c r="A700">
        <v>1699</v>
      </c>
      <c r="B700" s="1" t="s">
        <v>6</v>
      </c>
      <c r="C700">
        <v>28</v>
      </c>
      <c r="D700" s="1" t="s">
        <v>16</v>
      </c>
      <c r="E700" s="1" t="s">
        <v>12</v>
      </c>
      <c r="F700" s="1" t="s">
        <v>9</v>
      </c>
    </row>
    <row r="701" spans="1:6">
      <c r="A701">
        <v>1700</v>
      </c>
      <c r="B701" s="1" t="s">
        <v>6</v>
      </c>
      <c r="C701">
        <v>21</v>
      </c>
      <c r="D701" s="1" t="s">
        <v>11</v>
      </c>
      <c r="E701" s="1" t="s">
        <v>8</v>
      </c>
      <c r="F701" s="1" t="s">
        <v>14</v>
      </c>
    </row>
    <row r="702" spans="1:6">
      <c r="A702">
        <v>1701</v>
      </c>
      <c r="B702" s="1" t="s">
        <v>10</v>
      </c>
      <c r="C702">
        <v>51</v>
      </c>
      <c r="D702" s="1" t="s">
        <v>16</v>
      </c>
      <c r="E702" s="1" t="s">
        <v>12</v>
      </c>
      <c r="F702" s="1" t="s">
        <v>17</v>
      </c>
    </row>
    <row r="703" spans="1:6">
      <c r="A703">
        <v>1702</v>
      </c>
      <c r="B703" s="1" t="s">
        <v>6</v>
      </c>
      <c r="C703">
        <v>55</v>
      </c>
      <c r="D703" s="1" t="s">
        <v>11</v>
      </c>
      <c r="E703" s="1" t="s">
        <v>8</v>
      </c>
      <c r="F703" s="1" t="s">
        <v>15</v>
      </c>
    </row>
    <row r="704" spans="1:6">
      <c r="A704">
        <v>1703</v>
      </c>
      <c r="B704" s="1" t="s">
        <v>6</v>
      </c>
      <c r="C704">
        <v>63</v>
      </c>
      <c r="D704" s="1" t="s">
        <v>11</v>
      </c>
      <c r="E704" s="1" t="s">
        <v>19</v>
      </c>
      <c r="F704" s="1" t="s">
        <v>9</v>
      </c>
    </row>
    <row r="705" spans="1:6">
      <c r="A705">
        <v>1704</v>
      </c>
      <c r="B705" s="1" t="s">
        <v>6</v>
      </c>
      <c r="C705">
        <v>21</v>
      </c>
      <c r="D705" s="1" t="s">
        <v>16</v>
      </c>
      <c r="E705" s="1" t="s">
        <v>12</v>
      </c>
      <c r="F705" s="1" t="s">
        <v>14</v>
      </c>
    </row>
    <row r="706" spans="1:6">
      <c r="A706">
        <v>1705</v>
      </c>
      <c r="B706" s="1" t="s">
        <v>6</v>
      </c>
      <c r="C706">
        <v>55</v>
      </c>
      <c r="D706" s="1" t="s">
        <v>16</v>
      </c>
      <c r="E706" s="1" t="s">
        <v>8</v>
      </c>
      <c r="F706" s="1" t="s">
        <v>9</v>
      </c>
    </row>
    <row r="707" spans="1:6">
      <c r="A707">
        <v>1706</v>
      </c>
      <c r="B707" s="1" t="s">
        <v>10</v>
      </c>
      <c r="C707">
        <v>36</v>
      </c>
      <c r="D707" s="1" t="s">
        <v>11</v>
      </c>
      <c r="E707" s="1" t="s">
        <v>8</v>
      </c>
      <c r="F707" s="1" t="s">
        <v>15</v>
      </c>
    </row>
    <row r="708" spans="1:6">
      <c r="A708">
        <v>1707</v>
      </c>
      <c r="B708" s="1" t="s">
        <v>6</v>
      </c>
      <c r="C708">
        <v>23</v>
      </c>
      <c r="D708" s="1" t="s">
        <v>16</v>
      </c>
      <c r="E708" s="1" t="s">
        <v>8</v>
      </c>
      <c r="F708" s="1" t="s">
        <v>9</v>
      </c>
    </row>
    <row r="709" spans="1:6">
      <c r="A709">
        <v>1708</v>
      </c>
      <c r="B709" s="1" t="s">
        <v>10</v>
      </c>
      <c r="C709">
        <v>51</v>
      </c>
      <c r="D709" s="1" t="s">
        <v>18</v>
      </c>
      <c r="E709" s="1" t="s">
        <v>12</v>
      </c>
      <c r="F709" s="1" t="s">
        <v>9</v>
      </c>
    </row>
    <row r="710" spans="1:6">
      <c r="A710">
        <v>1709</v>
      </c>
      <c r="B710" s="1" t="s">
        <v>6</v>
      </c>
      <c r="C710">
        <v>35</v>
      </c>
      <c r="D710" s="1" t="s">
        <v>18</v>
      </c>
      <c r="E710" s="1" t="s">
        <v>8</v>
      </c>
      <c r="F710" s="1" t="s">
        <v>9</v>
      </c>
    </row>
    <row r="711" spans="1:6">
      <c r="A711">
        <v>1710</v>
      </c>
      <c r="B711" s="1" t="s">
        <v>10</v>
      </c>
      <c r="C711">
        <v>30</v>
      </c>
      <c r="D711" s="1" t="s">
        <v>7</v>
      </c>
      <c r="E711" s="1" t="s">
        <v>12</v>
      </c>
      <c r="F711" s="1" t="s">
        <v>15</v>
      </c>
    </row>
    <row r="712" spans="1:6">
      <c r="A712">
        <v>1711</v>
      </c>
      <c r="B712" s="1" t="s">
        <v>10</v>
      </c>
      <c r="C712">
        <v>58</v>
      </c>
      <c r="D712" s="1" t="s">
        <v>18</v>
      </c>
      <c r="E712" s="1" t="s">
        <v>8</v>
      </c>
      <c r="F712" s="1" t="s">
        <v>9</v>
      </c>
    </row>
    <row r="713" spans="1:6">
      <c r="A713">
        <v>1712</v>
      </c>
      <c r="B713" s="1" t="s">
        <v>10</v>
      </c>
      <c r="C713">
        <v>40</v>
      </c>
      <c r="D713" s="1" t="s">
        <v>11</v>
      </c>
      <c r="E713" s="1" t="s">
        <v>12</v>
      </c>
      <c r="F713" s="1" t="s">
        <v>15</v>
      </c>
    </row>
    <row r="714" spans="1:6">
      <c r="A714">
        <v>1713</v>
      </c>
      <c r="B714" s="1" t="s">
        <v>6</v>
      </c>
      <c r="C714">
        <v>36</v>
      </c>
      <c r="D714" s="1" t="s">
        <v>18</v>
      </c>
      <c r="E714" s="1" t="s">
        <v>12</v>
      </c>
      <c r="F714" s="1" t="s">
        <v>15</v>
      </c>
    </row>
    <row r="715" spans="1:6">
      <c r="A715">
        <v>1714</v>
      </c>
      <c r="B715" s="1" t="s">
        <v>6</v>
      </c>
      <c r="C715">
        <v>62</v>
      </c>
      <c r="D715" s="1" t="s">
        <v>16</v>
      </c>
      <c r="E715" s="1" t="s">
        <v>12</v>
      </c>
      <c r="F715" s="1" t="s">
        <v>15</v>
      </c>
    </row>
    <row r="716" spans="1:6">
      <c r="A716">
        <v>1715</v>
      </c>
      <c r="B716" s="1" t="s">
        <v>6</v>
      </c>
      <c r="C716">
        <v>28</v>
      </c>
      <c r="D716" s="1" t="s">
        <v>16</v>
      </c>
      <c r="E716" s="1" t="s">
        <v>12</v>
      </c>
      <c r="F716" s="1" t="s">
        <v>15</v>
      </c>
    </row>
    <row r="717" spans="1:6">
      <c r="A717">
        <v>1716</v>
      </c>
      <c r="B717" s="1" t="s">
        <v>10</v>
      </c>
      <c r="C717">
        <v>18</v>
      </c>
      <c r="D717" s="1" t="s">
        <v>18</v>
      </c>
      <c r="E717" s="1" t="s">
        <v>8</v>
      </c>
      <c r="F717" s="1" t="s">
        <v>17</v>
      </c>
    </row>
    <row r="718" spans="1:6">
      <c r="A718">
        <v>1717</v>
      </c>
      <c r="B718" s="1" t="s">
        <v>10</v>
      </c>
      <c r="C718">
        <v>41</v>
      </c>
      <c r="D718" s="1" t="s">
        <v>11</v>
      </c>
      <c r="E718" s="1" t="s">
        <v>8</v>
      </c>
      <c r="F718" s="1" t="s">
        <v>9</v>
      </c>
    </row>
    <row r="719" spans="1:6">
      <c r="A719">
        <v>1718</v>
      </c>
      <c r="B719" s="1" t="s">
        <v>10</v>
      </c>
      <c r="C719">
        <v>24</v>
      </c>
      <c r="D719" s="1" t="s">
        <v>18</v>
      </c>
      <c r="E719" s="1" t="s">
        <v>12</v>
      </c>
      <c r="F719" s="1" t="s">
        <v>15</v>
      </c>
    </row>
    <row r="720" spans="1:6">
      <c r="A720">
        <v>1719</v>
      </c>
      <c r="B720" s="1" t="s">
        <v>6</v>
      </c>
      <c r="C720">
        <v>42</v>
      </c>
      <c r="D720" s="1" t="s">
        <v>7</v>
      </c>
      <c r="E720" s="1" t="s">
        <v>8</v>
      </c>
      <c r="F720" s="1" t="s">
        <v>9</v>
      </c>
    </row>
    <row r="721" spans="1:6">
      <c r="A721">
        <v>1720</v>
      </c>
      <c r="B721" s="1" t="s">
        <v>10</v>
      </c>
      <c r="C721">
        <v>38</v>
      </c>
      <c r="D721" s="1" t="s">
        <v>7</v>
      </c>
      <c r="E721" s="1" t="s">
        <v>8</v>
      </c>
      <c r="F721" s="1" t="s">
        <v>9</v>
      </c>
    </row>
    <row r="722" spans="1:6">
      <c r="A722">
        <v>1721</v>
      </c>
      <c r="B722" s="1" t="s">
        <v>10</v>
      </c>
      <c r="C722">
        <v>32</v>
      </c>
      <c r="D722" s="1" t="s">
        <v>7</v>
      </c>
      <c r="E722" s="1" t="s">
        <v>8</v>
      </c>
      <c r="F722" s="1" t="s">
        <v>14</v>
      </c>
    </row>
    <row r="723" spans="1:6">
      <c r="A723">
        <v>1722</v>
      </c>
      <c r="B723" s="1" t="s">
        <v>6</v>
      </c>
      <c r="C723">
        <v>18</v>
      </c>
      <c r="D723" s="1" t="s">
        <v>11</v>
      </c>
      <c r="E723" s="1" t="s">
        <v>8</v>
      </c>
      <c r="F723" s="1" t="s">
        <v>14</v>
      </c>
    </row>
    <row r="724" spans="1:6">
      <c r="A724">
        <v>1723</v>
      </c>
      <c r="B724" s="1" t="s">
        <v>6</v>
      </c>
      <c r="C724">
        <v>29</v>
      </c>
      <c r="D724" s="1" t="s">
        <v>16</v>
      </c>
      <c r="E724" s="1" t="s">
        <v>8</v>
      </c>
      <c r="F724" s="1" t="s">
        <v>17</v>
      </c>
    </row>
    <row r="725" spans="1:6">
      <c r="A725">
        <v>1724</v>
      </c>
      <c r="B725" s="1" t="s">
        <v>10</v>
      </c>
      <c r="C725">
        <v>24</v>
      </c>
      <c r="D725" s="1" t="s">
        <v>11</v>
      </c>
      <c r="E725" s="1" t="s">
        <v>19</v>
      </c>
      <c r="F725" s="1" t="s">
        <v>14</v>
      </c>
    </row>
    <row r="726" spans="1:6">
      <c r="A726">
        <v>1725</v>
      </c>
      <c r="B726" s="1" t="s">
        <v>10</v>
      </c>
      <c r="C726">
        <v>32</v>
      </c>
      <c r="D726" s="1" t="s">
        <v>16</v>
      </c>
      <c r="E726" s="1" t="s">
        <v>8</v>
      </c>
      <c r="F726" s="1" t="s">
        <v>20</v>
      </c>
    </row>
    <row r="727" spans="1:6">
      <c r="A727">
        <v>1726</v>
      </c>
      <c r="B727" s="1" t="s">
        <v>10</v>
      </c>
      <c r="C727">
        <v>38</v>
      </c>
      <c r="D727" s="1" t="s">
        <v>11</v>
      </c>
      <c r="E727" s="1" t="s">
        <v>12</v>
      </c>
      <c r="F727" s="1" t="s">
        <v>9</v>
      </c>
    </row>
    <row r="728" spans="1:6">
      <c r="A728">
        <v>1727</v>
      </c>
      <c r="B728" s="1" t="s">
        <v>6</v>
      </c>
      <c r="C728">
        <v>36</v>
      </c>
      <c r="D728" s="1" t="s">
        <v>18</v>
      </c>
      <c r="E728" s="1" t="s">
        <v>8</v>
      </c>
      <c r="F728" s="1" t="s">
        <v>9</v>
      </c>
    </row>
    <row r="729" spans="1:6">
      <c r="A729">
        <v>1728</v>
      </c>
      <c r="B729" s="1" t="s">
        <v>10</v>
      </c>
      <c r="C729">
        <v>46</v>
      </c>
      <c r="D729" s="1" t="s">
        <v>18</v>
      </c>
      <c r="E729" s="1" t="s">
        <v>12</v>
      </c>
      <c r="F729" s="1" t="s">
        <v>9</v>
      </c>
    </row>
    <row r="730" spans="1:6">
      <c r="A730">
        <v>1729</v>
      </c>
      <c r="B730" s="1" t="s">
        <v>6</v>
      </c>
      <c r="C730">
        <v>42</v>
      </c>
      <c r="D730" s="1" t="s">
        <v>16</v>
      </c>
      <c r="E730" s="1" t="s">
        <v>8</v>
      </c>
      <c r="F730" s="1" t="s">
        <v>9</v>
      </c>
    </row>
    <row r="731" spans="1:6">
      <c r="A731">
        <v>1730</v>
      </c>
      <c r="B731" s="1" t="s">
        <v>6</v>
      </c>
      <c r="C731">
        <v>50</v>
      </c>
      <c r="D731" s="1" t="s">
        <v>16</v>
      </c>
      <c r="E731" s="1" t="s">
        <v>19</v>
      </c>
      <c r="F731" s="1" t="s">
        <v>15</v>
      </c>
    </row>
    <row r="732" spans="1:6">
      <c r="A732">
        <v>1731</v>
      </c>
      <c r="B732" s="1" t="s">
        <v>6</v>
      </c>
      <c r="C732">
        <v>49</v>
      </c>
      <c r="D732" s="1" t="s">
        <v>11</v>
      </c>
      <c r="E732" s="1" t="s">
        <v>19</v>
      </c>
      <c r="F732" s="1" t="s">
        <v>14</v>
      </c>
    </row>
    <row r="733" spans="1:6">
      <c r="A733">
        <v>1732</v>
      </c>
      <c r="B733" s="1" t="s">
        <v>10</v>
      </c>
      <c r="C733">
        <v>52</v>
      </c>
      <c r="D733" s="1" t="s">
        <v>16</v>
      </c>
      <c r="E733" s="1" t="s">
        <v>8</v>
      </c>
      <c r="F733" s="1" t="s">
        <v>9</v>
      </c>
    </row>
    <row r="734" spans="1:6">
      <c r="A734">
        <v>1733</v>
      </c>
      <c r="B734" s="1" t="s">
        <v>10</v>
      </c>
      <c r="C734">
        <v>61</v>
      </c>
      <c r="D734" s="1" t="s">
        <v>7</v>
      </c>
      <c r="E734" s="1" t="s">
        <v>19</v>
      </c>
      <c r="F734" s="1" t="s">
        <v>20</v>
      </c>
    </row>
    <row r="735" spans="1:6">
      <c r="A735">
        <v>1734</v>
      </c>
      <c r="B735" s="1" t="s">
        <v>10</v>
      </c>
      <c r="C735">
        <v>55</v>
      </c>
      <c r="D735" s="1" t="s">
        <v>16</v>
      </c>
      <c r="E735" s="1" t="s">
        <v>19</v>
      </c>
      <c r="F735" s="1" t="s">
        <v>17</v>
      </c>
    </row>
    <row r="736" spans="1:6">
      <c r="A736">
        <v>1735</v>
      </c>
      <c r="B736" s="1" t="s">
        <v>6</v>
      </c>
      <c r="C736">
        <v>43</v>
      </c>
      <c r="D736" s="1" t="s">
        <v>16</v>
      </c>
      <c r="E736" s="1" t="s">
        <v>12</v>
      </c>
      <c r="F736" s="1" t="s">
        <v>9</v>
      </c>
    </row>
    <row r="737" spans="1:6">
      <c r="A737">
        <v>1736</v>
      </c>
      <c r="B737" s="1" t="s">
        <v>10</v>
      </c>
      <c r="C737">
        <v>28</v>
      </c>
      <c r="D737" s="1" t="s">
        <v>16</v>
      </c>
      <c r="E737" s="1" t="s">
        <v>12</v>
      </c>
      <c r="F737" s="1" t="s">
        <v>9</v>
      </c>
    </row>
    <row r="738" spans="1:6">
      <c r="A738">
        <v>1737</v>
      </c>
      <c r="B738" s="1" t="s">
        <v>6</v>
      </c>
      <c r="C738">
        <v>52</v>
      </c>
      <c r="D738" s="1" t="s">
        <v>11</v>
      </c>
      <c r="E738" s="1" t="s">
        <v>8</v>
      </c>
      <c r="F738" s="1" t="s">
        <v>9</v>
      </c>
    </row>
    <row r="739" spans="1:6">
      <c r="A739">
        <v>1738</v>
      </c>
      <c r="B739" s="1" t="s">
        <v>10</v>
      </c>
      <c r="C739">
        <v>25</v>
      </c>
      <c r="D739" s="1" t="s">
        <v>11</v>
      </c>
      <c r="E739" s="1" t="s">
        <v>12</v>
      </c>
      <c r="F739" s="1" t="s">
        <v>9</v>
      </c>
    </row>
    <row r="740" spans="1:6">
      <c r="A740">
        <v>1739</v>
      </c>
      <c r="B740" s="1" t="s">
        <v>6</v>
      </c>
      <c r="C740">
        <v>63</v>
      </c>
      <c r="D740" s="1" t="s">
        <v>16</v>
      </c>
      <c r="E740" s="1" t="s">
        <v>8</v>
      </c>
      <c r="F740" s="1" t="s">
        <v>9</v>
      </c>
    </row>
    <row r="741" spans="1:6">
      <c r="A741">
        <v>1740</v>
      </c>
      <c r="B741" s="1" t="s">
        <v>6</v>
      </c>
      <c r="C741">
        <v>31</v>
      </c>
      <c r="D741" s="1" t="s">
        <v>16</v>
      </c>
      <c r="E741" s="1" t="s">
        <v>8</v>
      </c>
      <c r="F741" s="1" t="s">
        <v>15</v>
      </c>
    </row>
    <row r="742" spans="1:6">
      <c r="A742">
        <v>1741</v>
      </c>
      <c r="B742" s="1" t="s">
        <v>6</v>
      </c>
      <c r="C742">
        <v>27</v>
      </c>
      <c r="D742" s="1" t="s">
        <v>11</v>
      </c>
      <c r="E742" s="1" t="s">
        <v>19</v>
      </c>
      <c r="F742" s="1" t="s">
        <v>9</v>
      </c>
    </row>
    <row r="743" spans="1:6">
      <c r="A743">
        <v>1742</v>
      </c>
      <c r="B743" s="1" t="s">
        <v>6</v>
      </c>
      <c r="C743">
        <v>19</v>
      </c>
      <c r="D743" s="1" t="s">
        <v>16</v>
      </c>
      <c r="E743" s="1" t="s">
        <v>8</v>
      </c>
      <c r="F743" s="1" t="s">
        <v>15</v>
      </c>
    </row>
    <row r="744" spans="1:6">
      <c r="A744">
        <v>1743</v>
      </c>
      <c r="B744" s="1" t="s">
        <v>10</v>
      </c>
      <c r="C744">
        <v>63</v>
      </c>
      <c r="D744" s="1" t="s">
        <v>18</v>
      </c>
      <c r="E744" s="1" t="s">
        <v>12</v>
      </c>
      <c r="F744" s="1" t="s">
        <v>20</v>
      </c>
    </row>
    <row r="745" spans="1:6">
      <c r="A745">
        <v>1744</v>
      </c>
      <c r="B745" s="1" t="s">
        <v>6</v>
      </c>
      <c r="C745">
        <v>26</v>
      </c>
      <c r="D745" s="1" t="s">
        <v>11</v>
      </c>
      <c r="E745" s="1" t="s">
        <v>12</v>
      </c>
      <c r="F745" s="1" t="s">
        <v>14</v>
      </c>
    </row>
    <row r="746" spans="1:6">
      <c r="A746">
        <v>1745</v>
      </c>
      <c r="B746" s="1" t="s">
        <v>6</v>
      </c>
      <c r="C746">
        <v>20</v>
      </c>
      <c r="D746" s="1" t="s">
        <v>16</v>
      </c>
      <c r="E746" s="1" t="s">
        <v>19</v>
      </c>
      <c r="F746" s="1" t="s">
        <v>20</v>
      </c>
    </row>
    <row r="747" spans="1:6">
      <c r="A747">
        <v>1746</v>
      </c>
      <c r="B747" s="1" t="s">
        <v>10</v>
      </c>
      <c r="C747">
        <v>38</v>
      </c>
      <c r="D747" s="1" t="s">
        <v>16</v>
      </c>
      <c r="E747" s="1" t="s">
        <v>19</v>
      </c>
      <c r="F747" s="1" t="s">
        <v>9</v>
      </c>
    </row>
    <row r="748" spans="1:6">
      <c r="A748">
        <v>1747</v>
      </c>
      <c r="B748" s="1" t="s">
        <v>6</v>
      </c>
      <c r="C748">
        <v>43</v>
      </c>
      <c r="D748" s="1" t="s">
        <v>13</v>
      </c>
      <c r="E748" s="1" t="s">
        <v>8</v>
      </c>
      <c r="F748" s="1" t="s">
        <v>15</v>
      </c>
    </row>
    <row r="749" spans="1:6">
      <c r="A749">
        <v>1748</v>
      </c>
      <c r="B749" s="1" t="s">
        <v>10</v>
      </c>
      <c r="C749">
        <v>25</v>
      </c>
      <c r="D749" s="1" t="s">
        <v>11</v>
      </c>
      <c r="E749" s="1" t="s">
        <v>8</v>
      </c>
      <c r="F749" s="1" t="s">
        <v>14</v>
      </c>
    </row>
    <row r="750" spans="1:6">
      <c r="A750">
        <v>1749</v>
      </c>
      <c r="B750" s="1" t="s">
        <v>10</v>
      </c>
      <c r="C750">
        <v>19</v>
      </c>
      <c r="D750" s="1" t="s">
        <v>18</v>
      </c>
      <c r="E750" s="1" t="s">
        <v>8</v>
      </c>
      <c r="F750" s="1" t="s">
        <v>9</v>
      </c>
    </row>
    <row r="751" spans="1:6">
      <c r="A751">
        <v>1750</v>
      </c>
      <c r="B751" s="1" t="s">
        <v>10</v>
      </c>
      <c r="C751">
        <v>23</v>
      </c>
      <c r="D751" s="1" t="s">
        <v>16</v>
      </c>
      <c r="E751" s="1" t="s">
        <v>8</v>
      </c>
      <c r="F751" s="1" t="s">
        <v>9</v>
      </c>
    </row>
    <row r="752" spans="1:6">
      <c r="A752">
        <v>1751</v>
      </c>
      <c r="B752" s="1" t="s">
        <v>6</v>
      </c>
      <c r="C752">
        <v>45</v>
      </c>
      <c r="D752" s="1" t="s">
        <v>11</v>
      </c>
      <c r="E752" s="1" t="s">
        <v>8</v>
      </c>
      <c r="F752" s="1" t="s">
        <v>14</v>
      </c>
    </row>
    <row r="753" spans="1:6">
      <c r="A753">
        <v>1752</v>
      </c>
      <c r="B753" s="1" t="s">
        <v>10</v>
      </c>
      <c r="C753">
        <v>46</v>
      </c>
      <c r="D753" s="1" t="s">
        <v>16</v>
      </c>
      <c r="E753" s="1" t="s">
        <v>8</v>
      </c>
      <c r="F753" s="1" t="s">
        <v>14</v>
      </c>
    </row>
    <row r="754" spans="1:6">
      <c r="A754">
        <v>1753</v>
      </c>
      <c r="B754" s="1" t="s">
        <v>10</v>
      </c>
      <c r="C754">
        <v>43</v>
      </c>
      <c r="D754" s="1" t="s">
        <v>11</v>
      </c>
      <c r="E754" s="1" t="s">
        <v>12</v>
      </c>
      <c r="F754" s="1" t="s">
        <v>15</v>
      </c>
    </row>
    <row r="755" spans="1:6">
      <c r="A755">
        <v>1754</v>
      </c>
      <c r="B755" s="1" t="s">
        <v>6</v>
      </c>
      <c r="C755">
        <v>42</v>
      </c>
      <c r="D755" s="1" t="s">
        <v>13</v>
      </c>
      <c r="E755" s="1" t="s">
        <v>12</v>
      </c>
      <c r="F755" s="1" t="s">
        <v>15</v>
      </c>
    </row>
    <row r="756" spans="1:6">
      <c r="A756">
        <v>1755</v>
      </c>
      <c r="B756" s="1" t="s">
        <v>6</v>
      </c>
      <c r="C756">
        <v>29</v>
      </c>
      <c r="D756" s="1" t="s">
        <v>16</v>
      </c>
      <c r="E756" s="1" t="s">
        <v>8</v>
      </c>
      <c r="F756" s="1" t="s">
        <v>15</v>
      </c>
    </row>
    <row r="757" spans="1:6">
      <c r="A757">
        <v>1756</v>
      </c>
      <c r="B757" s="1" t="s">
        <v>10</v>
      </c>
      <c r="C757">
        <v>22</v>
      </c>
      <c r="D757" s="1" t="s">
        <v>16</v>
      </c>
      <c r="E757" s="1" t="s">
        <v>12</v>
      </c>
      <c r="F757" s="1" t="s">
        <v>9</v>
      </c>
    </row>
    <row r="758" spans="1:6">
      <c r="A758">
        <v>1757</v>
      </c>
      <c r="B758" s="1" t="s">
        <v>10</v>
      </c>
      <c r="C758">
        <v>51</v>
      </c>
      <c r="D758" s="1" t="s">
        <v>16</v>
      </c>
      <c r="E758" s="1" t="s">
        <v>8</v>
      </c>
      <c r="F758" s="1" t="s">
        <v>15</v>
      </c>
    </row>
    <row r="759" spans="1:6">
      <c r="A759">
        <v>1758</v>
      </c>
      <c r="B759" s="1" t="s">
        <v>10</v>
      </c>
      <c r="C759">
        <v>54</v>
      </c>
      <c r="D759" s="1" t="s">
        <v>16</v>
      </c>
      <c r="E759" s="1" t="s">
        <v>8</v>
      </c>
      <c r="F759" s="1" t="s">
        <v>9</v>
      </c>
    </row>
    <row r="760" spans="1:6">
      <c r="A760">
        <v>1759</v>
      </c>
      <c r="B760" s="1" t="s">
        <v>10</v>
      </c>
      <c r="C760">
        <v>32</v>
      </c>
      <c r="D760" s="1" t="s">
        <v>16</v>
      </c>
      <c r="E760" s="1" t="s">
        <v>12</v>
      </c>
      <c r="F760" s="1" t="s">
        <v>9</v>
      </c>
    </row>
    <row r="761" spans="1:6">
      <c r="A761">
        <v>1760</v>
      </c>
      <c r="B761" s="1" t="s">
        <v>10</v>
      </c>
      <c r="C761">
        <v>61</v>
      </c>
      <c r="D761" s="1" t="s">
        <v>16</v>
      </c>
      <c r="E761" s="1" t="s">
        <v>12</v>
      </c>
      <c r="F761" s="1" t="s">
        <v>20</v>
      </c>
    </row>
    <row r="762" spans="1:6">
      <c r="A762">
        <v>1761</v>
      </c>
      <c r="B762" s="1" t="s">
        <v>6</v>
      </c>
      <c r="C762">
        <v>53</v>
      </c>
      <c r="D762" s="1" t="s">
        <v>18</v>
      </c>
      <c r="E762" s="1" t="s">
        <v>12</v>
      </c>
      <c r="F762" s="1" t="s">
        <v>14</v>
      </c>
    </row>
    <row r="763" spans="1:6">
      <c r="A763">
        <v>1762</v>
      </c>
      <c r="B763" s="1" t="s">
        <v>6</v>
      </c>
      <c r="C763">
        <v>32</v>
      </c>
      <c r="D763" s="1" t="s">
        <v>11</v>
      </c>
      <c r="E763" s="1" t="s">
        <v>8</v>
      </c>
      <c r="F763" s="1" t="s">
        <v>14</v>
      </c>
    </row>
    <row r="764" spans="1:6">
      <c r="A764">
        <v>1763</v>
      </c>
      <c r="B764" s="1" t="s">
        <v>6</v>
      </c>
      <c r="C764">
        <v>60</v>
      </c>
      <c r="D764" s="1" t="s">
        <v>16</v>
      </c>
      <c r="E764" s="1" t="s">
        <v>12</v>
      </c>
      <c r="F764" s="1" t="s">
        <v>15</v>
      </c>
    </row>
    <row r="765" spans="1:6">
      <c r="A765">
        <v>1764</v>
      </c>
      <c r="B765" s="1" t="s">
        <v>10</v>
      </c>
      <c r="C765">
        <v>40</v>
      </c>
      <c r="D765" s="1" t="s">
        <v>7</v>
      </c>
      <c r="E765" s="1" t="s">
        <v>12</v>
      </c>
      <c r="F765" s="1" t="s">
        <v>15</v>
      </c>
    </row>
    <row r="766" spans="1:6">
      <c r="A766">
        <v>1765</v>
      </c>
      <c r="B766" s="1" t="s">
        <v>6</v>
      </c>
      <c r="C766">
        <v>23</v>
      </c>
      <c r="D766" s="1" t="s">
        <v>16</v>
      </c>
      <c r="E766" s="1" t="s">
        <v>12</v>
      </c>
      <c r="F766" s="1" t="s">
        <v>9</v>
      </c>
    </row>
    <row r="767" spans="1:6">
      <c r="A767">
        <v>1766</v>
      </c>
      <c r="B767" s="1" t="s">
        <v>10</v>
      </c>
      <c r="C767">
        <v>63</v>
      </c>
      <c r="D767" s="1" t="s">
        <v>13</v>
      </c>
      <c r="E767" s="1" t="s">
        <v>12</v>
      </c>
      <c r="F767" s="1" t="s">
        <v>9</v>
      </c>
    </row>
    <row r="768" spans="1:6">
      <c r="A768">
        <v>1767</v>
      </c>
      <c r="B768" s="1" t="s">
        <v>10</v>
      </c>
      <c r="C768">
        <v>61</v>
      </c>
      <c r="D768" s="1" t="s">
        <v>16</v>
      </c>
      <c r="E768" s="1" t="s">
        <v>19</v>
      </c>
      <c r="F768" s="1" t="s">
        <v>9</v>
      </c>
    </row>
    <row r="769" spans="1:6">
      <c r="A769">
        <v>1768</v>
      </c>
      <c r="B769" s="1" t="s">
        <v>10</v>
      </c>
      <c r="C769">
        <v>60</v>
      </c>
      <c r="D769" s="1" t="s">
        <v>7</v>
      </c>
      <c r="E769" s="1" t="s">
        <v>12</v>
      </c>
      <c r="F769" s="1" t="s">
        <v>17</v>
      </c>
    </row>
    <row r="770" spans="1:6">
      <c r="A770">
        <v>1769</v>
      </c>
      <c r="B770" s="1" t="s">
        <v>6</v>
      </c>
      <c r="C770">
        <v>62</v>
      </c>
      <c r="D770" s="1" t="s">
        <v>11</v>
      </c>
      <c r="E770" s="1" t="s">
        <v>12</v>
      </c>
      <c r="F770" s="1" t="s">
        <v>14</v>
      </c>
    </row>
    <row r="771" spans="1:6">
      <c r="A771">
        <v>1770</v>
      </c>
      <c r="B771" s="1" t="s">
        <v>10</v>
      </c>
      <c r="C771">
        <v>38</v>
      </c>
      <c r="D771" s="1" t="s">
        <v>7</v>
      </c>
      <c r="E771" s="1" t="s">
        <v>19</v>
      </c>
      <c r="F771" s="1" t="s">
        <v>15</v>
      </c>
    </row>
    <row r="772" spans="1:6">
      <c r="A772">
        <v>1771</v>
      </c>
      <c r="B772" s="1" t="s">
        <v>6</v>
      </c>
      <c r="C772">
        <v>40</v>
      </c>
      <c r="D772" s="1" t="s">
        <v>13</v>
      </c>
      <c r="E772" s="1" t="s">
        <v>12</v>
      </c>
      <c r="F772" s="1" t="s">
        <v>15</v>
      </c>
    </row>
    <row r="773" spans="1:6">
      <c r="A773">
        <v>1772</v>
      </c>
      <c r="B773" s="1" t="s">
        <v>10</v>
      </c>
      <c r="C773">
        <v>60</v>
      </c>
      <c r="D773" s="1" t="s">
        <v>16</v>
      </c>
      <c r="E773" s="1" t="s">
        <v>8</v>
      </c>
      <c r="F773" s="1" t="s">
        <v>20</v>
      </c>
    </row>
    <row r="774" spans="1:6">
      <c r="A774">
        <v>1773</v>
      </c>
      <c r="B774" s="1" t="s">
        <v>6</v>
      </c>
      <c r="C774">
        <v>33</v>
      </c>
      <c r="D774" s="1" t="s">
        <v>13</v>
      </c>
      <c r="E774" s="1" t="s">
        <v>12</v>
      </c>
      <c r="F774" s="1" t="s">
        <v>9</v>
      </c>
    </row>
    <row r="775" spans="1:6">
      <c r="A775">
        <v>1774</v>
      </c>
      <c r="B775" s="1" t="s">
        <v>6</v>
      </c>
      <c r="C775">
        <v>64</v>
      </c>
      <c r="D775" s="1" t="s">
        <v>16</v>
      </c>
      <c r="E775" s="1" t="s">
        <v>8</v>
      </c>
      <c r="F775" s="1" t="s">
        <v>9</v>
      </c>
    </row>
    <row r="776" spans="1:6">
      <c r="A776">
        <v>1775</v>
      </c>
      <c r="B776" s="1" t="s">
        <v>10</v>
      </c>
      <c r="C776">
        <v>32</v>
      </c>
      <c r="D776" s="1" t="s">
        <v>16</v>
      </c>
      <c r="E776" s="1" t="s">
        <v>8</v>
      </c>
      <c r="F776" s="1" t="s">
        <v>15</v>
      </c>
    </row>
    <row r="777" spans="1:6">
      <c r="A777">
        <v>1776</v>
      </c>
      <c r="B777" s="1" t="s">
        <v>6</v>
      </c>
      <c r="C777">
        <v>42</v>
      </c>
      <c r="D777" s="1" t="s">
        <v>16</v>
      </c>
      <c r="E777" s="1" t="s">
        <v>12</v>
      </c>
      <c r="F777" s="1" t="s">
        <v>17</v>
      </c>
    </row>
    <row r="778" spans="1:6">
      <c r="A778">
        <v>1777</v>
      </c>
      <c r="B778" s="1" t="s">
        <v>6</v>
      </c>
      <c r="C778">
        <v>53</v>
      </c>
      <c r="D778" s="1" t="s">
        <v>11</v>
      </c>
      <c r="E778" s="1" t="s">
        <v>19</v>
      </c>
      <c r="F778" s="1" t="s">
        <v>20</v>
      </c>
    </row>
    <row r="779" spans="1:6">
      <c r="A779">
        <v>1778</v>
      </c>
      <c r="B779" s="1" t="s">
        <v>10</v>
      </c>
      <c r="C779">
        <v>28</v>
      </c>
      <c r="D779" s="1" t="s">
        <v>16</v>
      </c>
      <c r="E779" s="1" t="s">
        <v>19</v>
      </c>
      <c r="F779" s="1" t="s">
        <v>9</v>
      </c>
    </row>
    <row r="780" spans="1:6">
      <c r="A780">
        <v>1779</v>
      </c>
      <c r="B780" s="1" t="s">
        <v>10</v>
      </c>
      <c r="C780">
        <v>32</v>
      </c>
      <c r="D780" s="1" t="s">
        <v>11</v>
      </c>
      <c r="E780" s="1" t="s">
        <v>8</v>
      </c>
      <c r="F780" s="1" t="s">
        <v>17</v>
      </c>
    </row>
    <row r="781" spans="1:6">
      <c r="A781">
        <v>1780</v>
      </c>
      <c r="B781" s="1" t="s">
        <v>10</v>
      </c>
      <c r="C781">
        <v>21</v>
      </c>
      <c r="D781" s="1" t="s">
        <v>11</v>
      </c>
      <c r="E781" s="1" t="s">
        <v>12</v>
      </c>
      <c r="F781" s="1" t="s">
        <v>17</v>
      </c>
    </row>
    <row r="782" spans="1:6">
      <c r="A782">
        <v>1781</v>
      </c>
      <c r="B782" s="1" t="s">
        <v>10</v>
      </c>
      <c r="C782">
        <v>38</v>
      </c>
      <c r="D782" s="1" t="s">
        <v>18</v>
      </c>
      <c r="E782" s="1" t="s">
        <v>8</v>
      </c>
      <c r="F782" s="1" t="s">
        <v>9</v>
      </c>
    </row>
    <row r="783" spans="1:6">
      <c r="A783">
        <v>1782</v>
      </c>
      <c r="B783" s="1" t="s">
        <v>10</v>
      </c>
      <c r="C783">
        <v>30</v>
      </c>
      <c r="D783" s="1" t="s">
        <v>7</v>
      </c>
      <c r="E783" s="1" t="s">
        <v>19</v>
      </c>
      <c r="F783" s="1" t="s">
        <v>15</v>
      </c>
    </row>
    <row r="784" spans="1:6">
      <c r="A784">
        <v>1783</v>
      </c>
      <c r="B784" s="1" t="s">
        <v>6</v>
      </c>
      <c r="C784">
        <v>39</v>
      </c>
      <c r="D784" s="1" t="s">
        <v>11</v>
      </c>
      <c r="E784" s="1" t="s">
        <v>19</v>
      </c>
      <c r="F784" s="1" t="s">
        <v>15</v>
      </c>
    </row>
    <row r="785" spans="1:6">
      <c r="A785">
        <v>1784</v>
      </c>
      <c r="B785" s="1" t="s">
        <v>6</v>
      </c>
      <c r="C785">
        <v>36</v>
      </c>
      <c r="D785" s="1" t="s">
        <v>16</v>
      </c>
      <c r="E785" s="1" t="s">
        <v>12</v>
      </c>
      <c r="F785" s="1" t="s">
        <v>20</v>
      </c>
    </row>
    <row r="786" spans="1:6">
      <c r="A786">
        <v>1785</v>
      </c>
      <c r="B786" s="1" t="s">
        <v>6</v>
      </c>
      <c r="C786">
        <v>51</v>
      </c>
      <c r="D786" s="1" t="s">
        <v>16</v>
      </c>
      <c r="E786" s="1" t="s">
        <v>12</v>
      </c>
      <c r="F786" s="1" t="s">
        <v>9</v>
      </c>
    </row>
    <row r="787" spans="1:6">
      <c r="A787">
        <v>1786</v>
      </c>
      <c r="B787" s="1" t="s">
        <v>10</v>
      </c>
      <c r="C787">
        <v>31</v>
      </c>
      <c r="D787" s="1" t="s">
        <v>16</v>
      </c>
      <c r="E787" s="1" t="s">
        <v>12</v>
      </c>
      <c r="F787" s="1" t="s">
        <v>17</v>
      </c>
    </row>
    <row r="788" spans="1:6">
      <c r="A788">
        <v>1787</v>
      </c>
      <c r="B788" s="1" t="s">
        <v>10</v>
      </c>
      <c r="C788">
        <v>21</v>
      </c>
      <c r="D788" s="1" t="s">
        <v>16</v>
      </c>
      <c r="E788" s="1" t="s">
        <v>12</v>
      </c>
      <c r="F788" s="1" t="s">
        <v>15</v>
      </c>
    </row>
    <row r="789" spans="1:6">
      <c r="A789">
        <v>1788</v>
      </c>
      <c r="B789" s="1" t="s">
        <v>6</v>
      </c>
      <c r="C789">
        <v>63</v>
      </c>
      <c r="D789" s="1" t="s">
        <v>16</v>
      </c>
      <c r="E789" s="1" t="s">
        <v>8</v>
      </c>
      <c r="F789" s="1" t="s">
        <v>14</v>
      </c>
    </row>
    <row r="790" spans="1:6">
      <c r="A790">
        <v>1789</v>
      </c>
      <c r="B790" s="1" t="s">
        <v>6</v>
      </c>
      <c r="C790">
        <v>44</v>
      </c>
      <c r="D790" s="1" t="s">
        <v>16</v>
      </c>
      <c r="E790" s="1" t="s">
        <v>8</v>
      </c>
      <c r="F790" s="1" t="s">
        <v>15</v>
      </c>
    </row>
    <row r="791" spans="1:6">
      <c r="A791">
        <v>1790</v>
      </c>
      <c r="B791" s="1" t="s">
        <v>10</v>
      </c>
      <c r="C791">
        <v>46</v>
      </c>
      <c r="D791" s="1" t="s">
        <v>13</v>
      </c>
      <c r="E791" s="1" t="s">
        <v>12</v>
      </c>
      <c r="F791" s="1" t="s">
        <v>14</v>
      </c>
    </row>
    <row r="792" spans="1:6">
      <c r="A792">
        <v>1791</v>
      </c>
      <c r="B792" s="1" t="s">
        <v>6</v>
      </c>
      <c r="C792">
        <v>64</v>
      </c>
      <c r="D792" s="1" t="s">
        <v>11</v>
      </c>
      <c r="E792" s="1" t="s">
        <v>12</v>
      </c>
      <c r="F792" s="1" t="s">
        <v>17</v>
      </c>
    </row>
    <row r="793" spans="1:6">
      <c r="A793">
        <v>1792</v>
      </c>
      <c r="B793" s="1" t="s">
        <v>10</v>
      </c>
      <c r="C793">
        <v>45</v>
      </c>
      <c r="D793" s="1" t="s">
        <v>16</v>
      </c>
      <c r="E793" s="1" t="s">
        <v>8</v>
      </c>
      <c r="F793" s="1" t="s">
        <v>17</v>
      </c>
    </row>
    <row r="794" spans="1:6">
      <c r="A794">
        <v>1793</v>
      </c>
      <c r="B794" s="1" t="s">
        <v>6</v>
      </c>
      <c r="C794">
        <v>52</v>
      </c>
      <c r="D794" s="1" t="s">
        <v>11</v>
      </c>
      <c r="E794" s="1" t="s">
        <v>19</v>
      </c>
      <c r="F794" s="1" t="s">
        <v>17</v>
      </c>
    </row>
    <row r="795" spans="1:6">
      <c r="A795">
        <v>1794</v>
      </c>
      <c r="B795" s="1" t="s">
        <v>10</v>
      </c>
      <c r="C795">
        <v>25</v>
      </c>
      <c r="D795" s="1" t="s">
        <v>16</v>
      </c>
      <c r="E795" s="1" t="s">
        <v>8</v>
      </c>
      <c r="F795" s="1" t="s">
        <v>9</v>
      </c>
    </row>
    <row r="796" spans="1:6">
      <c r="A796">
        <v>1795</v>
      </c>
      <c r="B796" s="1" t="s">
        <v>6</v>
      </c>
      <c r="C796">
        <v>33</v>
      </c>
      <c r="D796" s="1" t="s">
        <v>11</v>
      </c>
      <c r="E796" s="1" t="s">
        <v>12</v>
      </c>
      <c r="F796" s="1" t="s">
        <v>14</v>
      </c>
    </row>
    <row r="797" spans="1:6">
      <c r="A797">
        <v>1796</v>
      </c>
      <c r="B797" s="1" t="s">
        <v>10</v>
      </c>
      <c r="C797">
        <v>59</v>
      </c>
      <c r="D797" s="1" t="s">
        <v>11</v>
      </c>
      <c r="E797" s="1" t="s">
        <v>12</v>
      </c>
      <c r="F797" s="1" t="s">
        <v>9</v>
      </c>
    </row>
    <row r="798" spans="1:6">
      <c r="A798">
        <v>1797</v>
      </c>
      <c r="B798" s="1" t="s">
        <v>10</v>
      </c>
      <c r="C798">
        <v>53</v>
      </c>
      <c r="D798" s="1" t="s">
        <v>11</v>
      </c>
      <c r="E798" s="1" t="s">
        <v>12</v>
      </c>
      <c r="F798" s="1" t="s">
        <v>15</v>
      </c>
    </row>
    <row r="799" spans="1:6">
      <c r="A799">
        <v>1798</v>
      </c>
      <c r="B799" s="1" t="s">
        <v>10</v>
      </c>
      <c r="C799">
        <v>47</v>
      </c>
      <c r="D799" s="1" t="s">
        <v>11</v>
      </c>
      <c r="E799" s="1" t="s">
        <v>12</v>
      </c>
      <c r="F799" s="1" t="s">
        <v>15</v>
      </c>
    </row>
    <row r="800" spans="1:6">
      <c r="A800">
        <v>1799</v>
      </c>
      <c r="B800" s="1" t="s">
        <v>10</v>
      </c>
      <c r="C800">
        <v>35</v>
      </c>
      <c r="D800" s="1" t="s">
        <v>13</v>
      </c>
      <c r="E800" s="1" t="s">
        <v>8</v>
      </c>
      <c r="F800" s="1" t="s">
        <v>15</v>
      </c>
    </row>
    <row r="801" spans="1:6">
      <c r="A801">
        <v>1800</v>
      </c>
      <c r="B801" s="1" t="s">
        <v>10</v>
      </c>
      <c r="C801">
        <v>19</v>
      </c>
      <c r="D801" s="1" t="s">
        <v>7</v>
      </c>
      <c r="E801" s="1" t="s">
        <v>8</v>
      </c>
      <c r="F801" s="1" t="s">
        <v>15</v>
      </c>
    </row>
    <row r="802" spans="1:6">
      <c r="A802">
        <v>1801</v>
      </c>
      <c r="B802" s="1" t="s">
        <v>10</v>
      </c>
      <c r="C802">
        <v>30</v>
      </c>
      <c r="D802" s="1" t="s">
        <v>11</v>
      </c>
      <c r="E802" s="1" t="s">
        <v>12</v>
      </c>
      <c r="F802" s="1" t="s">
        <v>20</v>
      </c>
    </row>
    <row r="803" spans="1:6">
      <c r="A803">
        <v>1802</v>
      </c>
      <c r="B803" s="1" t="s">
        <v>6</v>
      </c>
      <c r="C803">
        <v>21</v>
      </c>
      <c r="D803" s="1" t="s">
        <v>11</v>
      </c>
      <c r="E803" s="1" t="s">
        <v>12</v>
      </c>
      <c r="F803" s="1" t="s">
        <v>9</v>
      </c>
    </row>
    <row r="804" spans="1:6">
      <c r="A804">
        <v>1803</v>
      </c>
      <c r="B804" s="1" t="s">
        <v>10</v>
      </c>
      <c r="C804">
        <v>43</v>
      </c>
      <c r="D804" s="1" t="s">
        <v>11</v>
      </c>
      <c r="E804" s="1" t="s">
        <v>8</v>
      </c>
      <c r="F804" s="1" t="s">
        <v>14</v>
      </c>
    </row>
    <row r="805" spans="1:6">
      <c r="A805">
        <v>1804</v>
      </c>
      <c r="B805" s="1" t="s">
        <v>10</v>
      </c>
      <c r="C805">
        <v>42</v>
      </c>
      <c r="D805" s="1" t="s">
        <v>16</v>
      </c>
      <c r="E805" s="1" t="s">
        <v>12</v>
      </c>
      <c r="F805" s="1" t="s">
        <v>15</v>
      </c>
    </row>
    <row r="806" spans="1:6">
      <c r="A806">
        <v>1805</v>
      </c>
      <c r="B806" s="1" t="s">
        <v>6</v>
      </c>
      <c r="C806">
        <v>47</v>
      </c>
      <c r="D806" s="1" t="s">
        <v>16</v>
      </c>
      <c r="E806" s="1" t="s">
        <v>8</v>
      </c>
      <c r="F806" s="1" t="s">
        <v>9</v>
      </c>
    </row>
    <row r="807" spans="1:6">
      <c r="A807">
        <v>1806</v>
      </c>
      <c r="B807" s="1" t="s">
        <v>10</v>
      </c>
      <c r="C807">
        <v>28</v>
      </c>
      <c r="D807" s="1" t="s">
        <v>16</v>
      </c>
      <c r="E807" s="1" t="s">
        <v>12</v>
      </c>
      <c r="F807" s="1" t="s">
        <v>9</v>
      </c>
    </row>
    <row r="808" spans="1:6">
      <c r="A808">
        <v>1807</v>
      </c>
      <c r="B808" s="1" t="s">
        <v>10</v>
      </c>
      <c r="C808">
        <v>24</v>
      </c>
      <c r="D808" s="1" t="s">
        <v>11</v>
      </c>
      <c r="E808" s="1" t="s">
        <v>12</v>
      </c>
      <c r="F808" s="1" t="s">
        <v>20</v>
      </c>
    </row>
    <row r="809" spans="1:6">
      <c r="A809">
        <v>1808</v>
      </c>
      <c r="B809" s="1" t="s">
        <v>10</v>
      </c>
      <c r="C809">
        <v>48</v>
      </c>
      <c r="D809" s="1" t="s">
        <v>11</v>
      </c>
      <c r="E809" s="1" t="s">
        <v>8</v>
      </c>
      <c r="F809" s="1" t="s">
        <v>17</v>
      </c>
    </row>
    <row r="810" spans="1:6">
      <c r="A810">
        <v>1809</v>
      </c>
      <c r="B810" s="1" t="s">
        <v>6</v>
      </c>
      <c r="C810">
        <v>61</v>
      </c>
      <c r="D810" s="1" t="s">
        <v>16</v>
      </c>
      <c r="E810" s="1" t="s">
        <v>8</v>
      </c>
      <c r="F810" s="1" t="s">
        <v>20</v>
      </c>
    </row>
    <row r="811" spans="1:6">
      <c r="A811">
        <v>1810</v>
      </c>
      <c r="B811" s="1" t="s">
        <v>6</v>
      </c>
      <c r="C811">
        <v>27</v>
      </c>
      <c r="D811" s="1" t="s">
        <v>13</v>
      </c>
      <c r="E811" s="1" t="s">
        <v>12</v>
      </c>
      <c r="F811" s="1" t="s">
        <v>20</v>
      </c>
    </row>
    <row r="812" spans="1:6">
      <c r="A812">
        <v>1811</v>
      </c>
      <c r="B812" s="1" t="s">
        <v>10</v>
      </c>
      <c r="C812">
        <v>56</v>
      </c>
      <c r="D812" s="1" t="s">
        <v>7</v>
      </c>
      <c r="E812" s="1" t="s">
        <v>12</v>
      </c>
      <c r="F812" s="1" t="s">
        <v>9</v>
      </c>
    </row>
    <row r="813" spans="1:6">
      <c r="A813">
        <v>1812</v>
      </c>
      <c r="B813" s="1" t="s">
        <v>10</v>
      </c>
      <c r="C813">
        <v>30</v>
      </c>
      <c r="D813" s="1" t="s">
        <v>18</v>
      </c>
      <c r="E813" s="1" t="s">
        <v>12</v>
      </c>
      <c r="F813" s="1" t="s">
        <v>15</v>
      </c>
    </row>
    <row r="814" spans="1:6">
      <c r="A814">
        <v>1813</v>
      </c>
      <c r="B814" s="1" t="s">
        <v>6</v>
      </c>
      <c r="C814">
        <v>48</v>
      </c>
      <c r="D814" s="1" t="s">
        <v>11</v>
      </c>
      <c r="E814" s="1" t="s">
        <v>12</v>
      </c>
      <c r="F814" s="1" t="s">
        <v>14</v>
      </c>
    </row>
    <row r="815" spans="1:6">
      <c r="A815">
        <v>1814</v>
      </c>
      <c r="B815" s="1" t="s">
        <v>10</v>
      </c>
      <c r="C815">
        <v>24</v>
      </c>
      <c r="D815" s="1" t="s">
        <v>7</v>
      </c>
      <c r="E815" s="1" t="s">
        <v>12</v>
      </c>
      <c r="F815" s="1" t="s">
        <v>15</v>
      </c>
    </row>
    <row r="816" spans="1:6">
      <c r="A816">
        <v>1815</v>
      </c>
      <c r="B816" s="1" t="s">
        <v>10</v>
      </c>
      <c r="C816">
        <v>59</v>
      </c>
      <c r="D816" s="1" t="s">
        <v>16</v>
      </c>
      <c r="E816" s="1" t="s">
        <v>19</v>
      </c>
      <c r="F816" s="1" t="s">
        <v>15</v>
      </c>
    </row>
    <row r="817" spans="1:6">
      <c r="A817">
        <v>1816</v>
      </c>
      <c r="B817" s="1" t="s">
        <v>6</v>
      </c>
      <c r="C817">
        <v>59</v>
      </c>
      <c r="D817" s="1" t="s">
        <v>18</v>
      </c>
      <c r="E817" s="1" t="s">
        <v>12</v>
      </c>
      <c r="F817" s="1" t="s">
        <v>15</v>
      </c>
    </row>
    <row r="818" spans="1:6">
      <c r="A818">
        <v>1817</v>
      </c>
      <c r="B818" s="1" t="s">
        <v>10</v>
      </c>
      <c r="C818">
        <v>53</v>
      </c>
      <c r="D818" s="1" t="s">
        <v>16</v>
      </c>
      <c r="E818" s="1" t="s">
        <v>8</v>
      </c>
      <c r="F818" s="1" t="s">
        <v>14</v>
      </c>
    </row>
    <row r="819" spans="1:6">
      <c r="A819">
        <v>1818</v>
      </c>
      <c r="B819" s="1" t="s">
        <v>6</v>
      </c>
      <c r="C819">
        <v>37</v>
      </c>
      <c r="D819" s="1" t="s">
        <v>18</v>
      </c>
      <c r="E819" s="1" t="s">
        <v>8</v>
      </c>
      <c r="F819" s="1" t="s">
        <v>14</v>
      </c>
    </row>
    <row r="820" spans="1:6">
      <c r="A820">
        <v>1819</v>
      </c>
      <c r="B820" s="1" t="s">
        <v>6</v>
      </c>
      <c r="C820">
        <v>21</v>
      </c>
      <c r="D820" s="1" t="s">
        <v>16</v>
      </c>
      <c r="E820" s="1" t="s">
        <v>8</v>
      </c>
      <c r="F820" s="1" t="s">
        <v>9</v>
      </c>
    </row>
    <row r="821" spans="1:6">
      <c r="A821">
        <v>1820</v>
      </c>
      <c r="B821" s="1" t="s">
        <v>6</v>
      </c>
      <c r="C821">
        <v>24</v>
      </c>
      <c r="D821" s="1" t="s">
        <v>7</v>
      </c>
      <c r="E821" s="1" t="s">
        <v>12</v>
      </c>
      <c r="F821" s="1" t="s">
        <v>15</v>
      </c>
    </row>
    <row r="822" spans="1:6">
      <c r="A822">
        <v>1821</v>
      </c>
      <c r="B822" s="1" t="s">
        <v>10</v>
      </c>
      <c r="C822">
        <v>18</v>
      </c>
      <c r="D822" s="1" t="s">
        <v>13</v>
      </c>
      <c r="E822" s="1" t="s">
        <v>8</v>
      </c>
      <c r="F822" s="1" t="s">
        <v>14</v>
      </c>
    </row>
    <row r="823" spans="1:6">
      <c r="A823">
        <v>1822</v>
      </c>
      <c r="B823" s="1" t="s">
        <v>6</v>
      </c>
      <c r="C823">
        <v>61</v>
      </c>
      <c r="D823" s="1" t="s">
        <v>16</v>
      </c>
      <c r="E823" s="1" t="s">
        <v>19</v>
      </c>
      <c r="F823" s="1" t="s">
        <v>14</v>
      </c>
    </row>
    <row r="824" spans="1:6">
      <c r="A824">
        <v>1823</v>
      </c>
      <c r="B824" s="1" t="s">
        <v>6</v>
      </c>
      <c r="C824">
        <v>62</v>
      </c>
      <c r="D824" s="1" t="s">
        <v>11</v>
      </c>
      <c r="E824" s="1" t="s">
        <v>12</v>
      </c>
      <c r="F824" s="1" t="s">
        <v>9</v>
      </c>
    </row>
    <row r="825" spans="1:6">
      <c r="A825">
        <v>1824</v>
      </c>
      <c r="B825" s="1" t="s">
        <v>6</v>
      </c>
      <c r="C825">
        <v>59</v>
      </c>
      <c r="D825" s="1" t="s">
        <v>13</v>
      </c>
      <c r="E825" s="1" t="s">
        <v>12</v>
      </c>
      <c r="F825" s="1" t="s">
        <v>14</v>
      </c>
    </row>
    <row r="826" spans="1:6">
      <c r="A826">
        <v>1825</v>
      </c>
      <c r="B826" s="1" t="s">
        <v>10</v>
      </c>
      <c r="C826">
        <v>64</v>
      </c>
      <c r="D826" s="1" t="s">
        <v>11</v>
      </c>
      <c r="E826" s="1" t="s">
        <v>8</v>
      </c>
      <c r="F826" s="1" t="s">
        <v>9</v>
      </c>
    </row>
    <row r="827" spans="1:6">
      <c r="A827">
        <v>1826</v>
      </c>
      <c r="B827" s="1" t="s">
        <v>10</v>
      </c>
      <c r="C827">
        <v>30</v>
      </c>
      <c r="D827" s="1" t="s">
        <v>7</v>
      </c>
      <c r="E827" s="1" t="s">
        <v>8</v>
      </c>
      <c r="F827" s="1" t="s">
        <v>15</v>
      </c>
    </row>
    <row r="828" spans="1:6">
      <c r="A828">
        <v>1827</v>
      </c>
      <c r="B828" s="1" t="s">
        <v>6</v>
      </c>
      <c r="C828">
        <v>39</v>
      </c>
      <c r="D828" s="1" t="s">
        <v>11</v>
      </c>
      <c r="E828" s="1" t="s">
        <v>8</v>
      </c>
      <c r="F828" s="1" t="s">
        <v>17</v>
      </c>
    </row>
    <row r="829" spans="1:6">
      <c r="A829">
        <v>1828</v>
      </c>
      <c r="B829" s="1" t="s">
        <v>6</v>
      </c>
      <c r="C829">
        <v>38</v>
      </c>
      <c r="D829" s="1" t="s">
        <v>16</v>
      </c>
      <c r="E829" s="1" t="s">
        <v>8</v>
      </c>
      <c r="F829" s="1" t="s">
        <v>14</v>
      </c>
    </row>
    <row r="830" spans="1:6">
      <c r="A830">
        <v>1829</v>
      </c>
      <c r="B830" s="1" t="s">
        <v>10</v>
      </c>
      <c r="C830">
        <v>39</v>
      </c>
      <c r="D830" s="1" t="s">
        <v>16</v>
      </c>
      <c r="E830" s="1" t="s">
        <v>8</v>
      </c>
      <c r="F830" s="1" t="s">
        <v>9</v>
      </c>
    </row>
    <row r="831" spans="1:6">
      <c r="A831">
        <v>1830</v>
      </c>
      <c r="B831" s="1" t="s">
        <v>6</v>
      </c>
      <c r="C831">
        <v>45</v>
      </c>
      <c r="D831" s="1" t="s">
        <v>16</v>
      </c>
      <c r="E831" s="1" t="s">
        <v>12</v>
      </c>
      <c r="F831" s="1" t="s">
        <v>14</v>
      </c>
    </row>
    <row r="832" spans="1:6">
      <c r="A832">
        <v>1831</v>
      </c>
      <c r="B832" s="1" t="s">
        <v>6</v>
      </c>
      <c r="C832">
        <v>26</v>
      </c>
      <c r="D832" s="1" t="s">
        <v>18</v>
      </c>
      <c r="E832" s="1" t="s">
        <v>19</v>
      </c>
      <c r="F832" s="1" t="s">
        <v>14</v>
      </c>
    </row>
    <row r="833" spans="1:6">
      <c r="A833">
        <v>1832</v>
      </c>
      <c r="B833" s="1" t="s">
        <v>6</v>
      </c>
      <c r="C833">
        <v>43</v>
      </c>
      <c r="D833" s="1" t="s">
        <v>16</v>
      </c>
      <c r="E833" s="1" t="s">
        <v>19</v>
      </c>
      <c r="F833" s="1" t="s">
        <v>17</v>
      </c>
    </row>
    <row r="834" spans="1:6">
      <c r="A834">
        <v>1833</v>
      </c>
      <c r="B834" s="1" t="s">
        <v>6</v>
      </c>
      <c r="C834">
        <v>26</v>
      </c>
      <c r="D834" s="1" t="s">
        <v>11</v>
      </c>
      <c r="E834" s="1" t="s">
        <v>12</v>
      </c>
      <c r="F834" s="1" t="s">
        <v>14</v>
      </c>
    </row>
    <row r="835" spans="1:6">
      <c r="A835">
        <v>1834</v>
      </c>
      <c r="B835" s="1" t="s">
        <v>6</v>
      </c>
      <c r="C835">
        <v>32</v>
      </c>
      <c r="D835" s="1" t="s">
        <v>11</v>
      </c>
      <c r="E835" s="1" t="s">
        <v>8</v>
      </c>
      <c r="F835" s="1" t="s">
        <v>14</v>
      </c>
    </row>
    <row r="836" spans="1:6">
      <c r="A836">
        <v>1835</v>
      </c>
      <c r="B836" s="1" t="s">
        <v>6</v>
      </c>
      <c r="C836">
        <v>27</v>
      </c>
      <c r="D836" s="1" t="s">
        <v>11</v>
      </c>
      <c r="E836" s="1" t="s">
        <v>19</v>
      </c>
      <c r="F836" s="1" t="s">
        <v>15</v>
      </c>
    </row>
    <row r="837" spans="1:6">
      <c r="A837">
        <v>1836</v>
      </c>
      <c r="B837" s="1" t="s">
        <v>6</v>
      </c>
      <c r="C837">
        <v>41</v>
      </c>
      <c r="D837" s="1" t="s">
        <v>7</v>
      </c>
      <c r="E837" s="1" t="s">
        <v>19</v>
      </c>
      <c r="F837" s="1" t="s">
        <v>9</v>
      </c>
    </row>
    <row r="838" spans="1:6">
      <c r="A838">
        <v>1837</v>
      </c>
      <c r="B838" s="1" t="s">
        <v>10</v>
      </c>
      <c r="C838">
        <v>59</v>
      </c>
      <c r="D838" s="1" t="s">
        <v>13</v>
      </c>
      <c r="E838" s="1" t="s">
        <v>8</v>
      </c>
      <c r="F838" s="1" t="s">
        <v>9</v>
      </c>
    </row>
    <row r="839" spans="1:6">
      <c r="A839">
        <v>1838</v>
      </c>
      <c r="B839" s="1" t="s">
        <v>6</v>
      </c>
      <c r="C839">
        <v>25</v>
      </c>
      <c r="D839" s="1" t="s">
        <v>11</v>
      </c>
      <c r="E839" s="1" t="s">
        <v>12</v>
      </c>
      <c r="F839" s="1" t="s">
        <v>15</v>
      </c>
    </row>
    <row r="840" spans="1:6">
      <c r="A840">
        <v>1839</v>
      </c>
      <c r="B840" s="1" t="s">
        <v>10</v>
      </c>
      <c r="C840">
        <v>41</v>
      </c>
      <c r="D840" s="1" t="s">
        <v>7</v>
      </c>
      <c r="E840" s="1" t="s">
        <v>8</v>
      </c>
      <c r="F840" s="1" t="s">
        <v>14</v>
      </c>
    </row>
    <row r="841" spans="1:6">
      <c r="A841">
        <v>1840</v>
      </c>
      <c r="B841" s="1" t="s">
        <v>10</v>
      </c>
      <c r="C841">
        <v>33</v>
      </c>
      <c r="D841" s="1" t="s">
        <v>18</v>
      </c>
      <c r="E841" s="1" t="s">
        <v>12</v>
      </c>
      <c r="F841" s="1" t="s">
        <v>15</v>
      </c>
    </row>
    <row r="842" spans="1:6">
      <c r="A842">
        <v>1841</v>
      </c>
      <c r="B842" s="1" t="s">
        <v>6</v>
      </c>
      <c r="C842">
        <v>43</v>
      </c>
      <c r="D842" s="1" t="s">
        <v>11</v>
      </c>
      <c r="E842" s="1" t="s">
        <v>19</v>
      </c>
      <c r="F842" s="1" t="s">
        <v>9</v>
      </c>
    </row>
    <row r="843" spans="1:6">
      <c r="A843">
        <v>1842</v>
      </c>
      <c r="B843" s="1" t="s">
        <v>10</v>
      </c>
      <c r="C843">
        <v>44</v>
      </c>
      <c r="D843" s="1" t="s">
        <v>13</v>
      </c>
      <c r="E843" s="1" t="s">
        <v>8</v>
      </c>
      <c r="F843" s="1" t="s">
        <v>9</v>
      </c>
    </row>
    <row r="844" spans="1:6">
      <c r="A844">
        <v>1843</v>
      </c>
      <c r="B844" s="1" t="s">
        <v>6</v>
      </c>
      <c r="C844">
        <v>54</v>
      </c>
      <c r="D844" s="1" t="s">
        <v>16</v>
      </c>
      <c r="E844" s="1" t="s">
        <v>19</v>
      </c>
      <c r="F844" s="1" t="s">
        <v>15</v>
      </c>
    </row>
    <row r="845" spans="1:6">
      <c r="A845">
        <v>1844</v>
      </c>
      <c r="B845" s="1" t="s">
        <v>10</v>
      </c>
      <c r="C845">
        <v>21</v>
      </c>
      <c r="D845" s="1" t="s">
        <v>16</v>
      </c>
      <c r="E845" s="1" t="s">
        <v>12</v>
      </c>
      <c r="F845" s="1" t="s">
        <v>9</v>
      </c>
    </row>
    <row r="846" spans="1:6">
      <c r="A846">
        <v>1845</v>
      </c>
      <c r="B846" s="1" t="s">
        <v>6</v>
      </c>
      <c r="C846">
        <v>41</v>
      </c>
      <c r="D846" s="1" t="s">
        <v>7</v>
      </c>
      <c r="E846" s="1" t="s">
        <v>19</v>
      </c>
      <c r="F846" s="1" t="s">
        <v>14</v>
      </c>
    </row>
    <row r="847" spans="1:6">
      <c r="A847">
        <v>1846</v>
      </c>
      <c r="B847" s="1" t="s">
        <v>6</v>
      </c>
      <c r="C847">
        <v>36</v>
      </c>
      <c r="D847" s="1" t="s">
        <v>11</v>
      </c>
      <c r="E847" s="1" t="s">
        <v>8</v>
      </c>
      <c r="F847" s="1" t="s">
        <v>9</v>
      </c>
    </row>
    <row r="848" spans="1:6">
      <c r="A848">
        <v>1847</v>
      </c>
      <c r="B848" s="1" t="s">
        <v>6</v>
      </c>
      <c r="C848">
        <v>53</v>
      </c>
      <c r="D848" s="1" t="s">
        <v>7</v>
      </c>
      <c r="E848" s="1" t="s">
        <v>12</v>
      </c>
      <c r="F848" s="1" t="s">
        <v>14</v>
      </c>
    </row>
    <row r="849" spans="1:6">
      <c r="A849">
        <v>1848</v>
      </c>
      <c r="B849" s="1" t="s">
        <v>10</v>
      </c>
      <c r="C849">
        <v>56</v>
      </c>
      <c r="D849" s="1" t="s">
        <v>7</v>
      </c>
      <c r="E849" s="1" t="s">
        <v>8</v>
      </c>
      <c r="F849" s="1" t="s">
        <v>20</v>
      </c>
    </row>
    <row r="850" spans="1:6">
      <c r="A850">
        <v>1849</v>
      </c>
      <c r="B850" s="1" t="s">
        <v>6</v>
      </c>
      <c r="C850">
        <v>27</v>
      </c>
      <c r="D850" s="1" t="s">
        <v>16</v>
      </c>
      <c r="E850" s="1" t="s">
        <v>8</v>
      </c>
      <c r="F850" s="1" t="s">
        <v>9</v>
      </c>
    </row>
    <row r="851" spans="1:6">
      <c r="A851">
        <v>1850</v>
      </c>
      <c r="B851" s="1" t="s">
        <v>10</v>
      </c>
      <c r="C851">
        <v>42</v>
      </c>
      <c r="D851" s="1" t="s">
        <v>7</v>
      </c>
      <c r="E851" s="1" t="s">
        <v>8</v>
      </c>
      <c r="F851" s="1" t="s">
        <v>15</v>
      </c>
    </row>
    <row r="852" spans="1:6">
      <c r="A852">
        <v>1851</v>
      </c>
      <c r="B852" s="1" t="s">
        <v>6</v>
      </c>
      <c r="C852">
        <v>35</v>
      </c>
      <c r="D852" s="1" t="s">
        <v>11</v>
      </c>
      <c r="E852" s="1" t="s">
        <v>19</v>
      </c>
      <c r="F852" s="1" t="s">
        <v>9</v>
      </c>
    </row>
    <row r="853" spans="1:6">
      <c r="A853">
        <v>1852</v>
      </c>
      <c r="B853" s="1" t="s">
        <v>10</v>
      </c>
      <c r="C853">
        <v>36</v>
      </c>
      <c r="D853" s="1" t="s">
        <v>11</v>
      </c>
      <c r="E853" s="1" t="s">
        <v>12</v>
      </c>
      <c r="F853" s="1" t="s">
        <v>14</v>
      </c>
    </row>
    <row r="854" spans="1:6">
      <c r="A854">
        <v>1853</v>
      </c>
      <c r="B854" s="1" t="s">
        <v>6</v>
      </c>
      <c r="C854">
        <v>53</v>
      </c>
      <c r="D854" s="1" t="s">
        <v>11</v>
      </c>
      <c r="E854" s="1" t="s">
        <v>19</v>
      </c>
      <c r="F854" s="1" t="s">
        <v>14</v>
      </c>
    </row>
    <row r="855" spans="1:6">
      <c r="A855">
        <v>1854</v>
      </c>
      <c r="B855" s="1" t="s">
        <v>10</v>
      </c>
      <c r="C855">
        <v>27</v>
      </c>
      <c r="D855" s="1" t="s">
        <v>13</v>
      </c>
      <c r="E855" s="1" t="s">
        <v>19</v>
      </c>
      <c r="F855" s="1" t="s">
        <v>15</v>
      </c>
    </row>
    <row r="856" spans="1:6">
      <c r="A856">
        <v>1855</v>
      </c>
      <c r="B856" s="1" t="s">
        <v>6</v>
      </c>
      <c r="C856">
        <v>50</v>
      </c>
      <c r="D856" s="1" t="s">
        <v>16</v>
      </c>
      <c r="E856" s="1" t="s">
        <v>8</v>
      </c>
      <c r="F856" s="1" t="s">
        <v>15</v>
      </c>
    </row>
    <row r="857" spans="1:6">
      <c r="A857">
        <v>1856</v>
      </c>
      <c r="B857" s="1" t="s">
        <v>6</v>
      </c>
      <c r="C857">
        <v>22</v>
      </c>
      <c r="D857" s="1" t="s">
        <v>11</v>
      </c>
      <c r="E857" s="1" t="s">
        <v>8</v>
      </c>
      <c r="F857" s="1" t="s">
        <v>17</v>
      </c>
    </row>
    <row r="858" spans="1:6">
      <c r="A858">
        <v>1857</v>
      </c>
      <c r="B858" s="1" t="s">
        <v>6</v>
      </c>
      <c r="C858">
        <v>64</v>
      </c>
      <c r="D858" s="1" t="s">
        <v>18</v>
      </c>
      <c r="E858" s="1" t="s">
        <v>8</v>
      </c>
      <c r="F858" s="1" t="s">
        <v>9</v>
      </c>
    </row>
    <row r="859" spans="1:6">
      <c r="A859">
        <v>1858</v>
      </c>
      <c r="B859" s="1" t="s">
        <v>6</v>
      </c>
      <c r="C859">
        <v>52</v>
      </c>
      <c r="D859" s="1" t="s">
        <v>18</v>
      </c>
      <c r="E859" s="1" t="s">
        <v>8</v>
      </c>
      <c r="F859" s="1" t="s">
        <v>9</v>
      </c>
    </row>
    <row r="860" spans="1:6">
      <c r="A860">
        <v>1859</v>
      </c>
      <c r="B860" s="1" t="s">
        <v>10</v>
      </c>
      <c r="C860">
        <v>61</v>
      </c>
      <c r="D860" s="1" t="s">
        <v>18</v>
      </c>
      <c r="E860" s="1" t="s">
        <v>8</v>
      </c>
      <c r="F860" s="1" t="s">
        <v>17</v>
      </c>
    </row>
    <row r="861" spans="1:6">
      <c r="A861">
        <v>1860</v>
      </c>
      <c r="B861" s="1" t="s">
        <v>6</v>
      </c>
      <c r="C861">
        <v>51</v>
      </c>
      <c r="D861" s="1" t="s">
        <v>16</v>
      </c>
      <c r="E861" s="1" t="s">
        <v>8</v>
      </c>
      <c r="F861" s="1" t="s">
        <v>14</v>
      </c>
    </row>
    <row r="862" spans="1:6">
      <c r="A862">
        <v>1861</v>
      </c>
      <c r="B862" s="1" t="s">
        <v>10</v>
      </c>
      <c r="C862">
        <v>50</v>
      </c>
      <c r="D862" s="1" t="s">
        <v>16</v>
      </c>
      <c r="E862" s="1" t="s">
        <v>8</v>
      </c>
      <c r="F862" s="1" t="s">
        <v>17</v>
      </c>
    </row>
    <row r="863" spans="1:6">
      <c r="A863">
        <v>1862</v>
      </c>
      <c r="B863" s="1" t="s">
        <v>6</v>
      </c>
      <c r="C863">
        <v>38</v>
      </c>
      <c r="D863" s="1" t="s">
        <v>16</v>
      </c>
      <c r="E863" s="1" t="s">
        <v>8</v>
      </c>
      <c r="F863" s="1" t="s">
        <v>14</v>
      </c>
    </row>
    <row r="864" spans="1:6">
      <c r="A864">
        <v>1863</v>
      </c>
      <c r="B864" s="1" t="s">
        <v>10</v>
      </c>
      <c r="C864">
        <v>34</v>
      </c>
      <c r="D864" s="1" t="s">
        <v>7</v>
      </c>
      <c r="E864" s="1" t="s">
        <v>8</v>
      </c>
      <c r="F864" s="1" t="s">
        <v>17</v>
      </c>
    </row>
    <row r="865" spans="1:6">
      <c r="A865">
        <v>1864</v>
      </c>
      <c r="B865" s="1" t="s">
        <v>6</v>
      </c>
      <c r="C865">
        <v>39</v>
      </c>
      <c r="D865" s="1" t="s">
        <v>16</v>
      </c>
      <c r="E865" s="1" t="s">
        <v>8</v>
      </c>
      <c r="F865" s="1" t="s">
        <v>15</v>
      </c>
    </row>
    <row r="866" spans="1:6">
      <c r="A866">
        <v>1865</v>
      </c>
      <c r="B866" s="1" t="s">
        <v>6</v>
      </c>
      <c r="C866">
        <v>54</v>
      </c>
      <c r="D866" s="1" t="s">
        <v>16</v>
      </c>
      <c r="E866" s="1" t="s">
        <v>19</v>
      </c>
      <c r="F866" s="1" t="s">
        <v>14</v>
      </c>
    </row>
    <row r="867" spans="1:6">
      <c r="A867">
        <v>1866</v>
      </c>
      <c r="B867" s="1" t="s">
        <v>10</v>
      </c>
      <c r="C867">
        <v>32</v>
      </c>
      <c r="D867" s="1" t="s">
        <v>13</v>
      </c>
      <c r="E867" s="1" t="s">
        <v>12</v>
      </c>
      <c r="F867" s="1" t="s">
        <v>20</v>
      </c>
    </row>
    <row r="868" spans="1:6">
      <c r="A868">
        <v>1867</v>
      </c>
      <c r="B868" s="1" t="s">
        <v>6</v>
      </c>
      <c r="C868">
        <v>52</v>
      </c>
      <c r="D868" s="1" t="s">
        <v>16</v>
      </c>
      <c r="E868" s="1" t="s">
        <v>19</v>
      </c>
      <c r="F868" s="1" t="s">
        <v>14</v>
      </c>
    </row>
    <row r="869" spans="1:6">
      <c r="A869">
        <v>1868</v>
      </c>
      <c r="B869" s="1" t="s">
        <v>6</v>
      </c>
      <c r="C869">
        <v>45</v>
      </c>
      <c r="D869" s="1" t="s">
        <v>13</v>
      </c>
      <c r="E869" s="1" t="s">
        <v>8</v>
      </c>
      <c r="F869" s="1" t="s">
        <v>9</v>
      </c>
    </row>
    <row r="870" spans="1:6">
      <c r="A870">
        <v>1869</v>
      </c>
      <c r="B870" s="1" t="s">
        <v>10</v>
      </c>
      <c r="C870">
        <v>24</v>
      </c>
      <c r="D870" s="1" t="s">
        <v>18</v>
      </c>
      <c r="E870" s="1" t="s">
        <v>8</v>
      </c>
      <c r="F870" s="1" t="s">
        <v>9</v>
      </c>
    </row>
    <row r="871" spans="1:6">
      <c r="A871">
        <v>1870</v>
      </c>
      <c r="B871" s="1" t="s">
        <v>10</v>
      </c>
      <c r="C871">
        <v>49</v>
      </c>
      <c r="D871" s="1" t="s">
        <v>7</v>
      </c>
      <c r="E871" s="1" t="s">
        <v>12</v>
      </c>
      <c r="F871" s="1" t="s">
        <v>9</v>
      </c>
    </row>
    <row r="872" spans="1:6">
      <c r="A872">
        <v>1871</v>
      </c>
      <c r="B872" s="1" t="s">
        <v>6</v>
      </c>
      <c r="C872">
        <v>28</v>
      </c>
      <c r="D872" s="1" t="s">
        <v>16</v>
      </c>
      <c r="E872" s="1" t="s">
        <v>8</v>
      </c>
      <c r="F872" s="1" t="s">
        <v>9</v>
      </c>
    </row>
    <row r="873" spans="1:6">
      <c r="A873">
        <v>1872</v>
      </c>
      <c r="B873" s="1" t="s">
        <v>6</v>
      </c>
      <c r="C873">
        <v>27</v>
      </c>
      <c r="D873" s="1" t="s">
        <v>16</v>
      </c>
      <c r="E873" s="1" t="s">
        <v>8</v>
      </c>
      <c r="F873" s="1" t="s">
        <v>15</v>
      </c>
    </row>
    <row r="874" spans="1:6">
      <c r="A874">
        <v>1873</v>
      </c>
      <c r="B874" s="1" t="s">
        <v>10</v>
      </c>
      <c r="C874">
        <v>26</v>
      </c>
      <c r="D874" s="1" t="s">
        <v>18</v>
      </c>
      <c r="E874" s="1" t="s">
        <v>8</v>
      </c>
      <c r="F874" s="1" t="s">
        <v>14</v>
      </c>
    </row>
    <row r="875" spans="1:6">
      <c r="A875">
        <v>1874</v>
      </c>
      <c r="B875" s="1" t="s">
        <v>6</v>
      </c>
      <c r="C875">
        <v>31</v>
      </c>
      <c r="D875" s="1" t="s">
        <v>7</v>
      </c>
      <c r="E875" s="1" t="s">
        <v>8</v>
      </c>
      <c r="F875" s="1" t="s">
        <v>14</v>
      </c>
    </row>
    <row r="876" spans="1:6">
      <c r="A876">
        <v>1875</v>
      </c>
      <c r="B876" s="1" t="s">
        <v>6</v>
      </c>
      <c r="C876">
        <v>30</v>
      </c>
      <c r="D876" s="1" t="s">
        <v>18</v>
      </c>
      <c r="E876" s="1" t="s">
        <v>8</v>
      </c>
      <c r="F876" s="1" t="s">
        <v>15</v>
      </c>
    </row>
    <row r="877" spans="1:6">
      <c r="A877">
        <v>1876</v>
      </c>
      <c r="B877" s="1" t="s">
        <v>6</v>
      </c>
      <c r="C877">
        <v>42</v>
      </c>
      <c r="D877" s="1" t="s">
        <v>16</v>
      </c>
      <c r="E877" s="1" t="s">
        <v>8</v>
      </c>
      <c r="F877" s="1" t="s">
        <v>14</v>
      </c>
    </row>
    <row r="878" spans="1:6">
      <c r="A878">
        <v>1877</v>
      </c>
      <c r="B878" s="1" t="s">
        <v>10</v>
      </c>
      <c r="C878">
        <v>19</v>
      </c>
      <c r="D878" s="1" t="s">
        <v>18</v>
      </c>
      <c r="E878" s="1" t="s">
        <v>12</v>
      </c>
      <c r="F878" s="1" t="s">
        <v>9</v>
      </c>
    </row>
    <row r="879" spans="1:6">
      <c r="A879">
        <v>1878</v>
      </c>
      <c r="B879" s="1" t="s">
        <v>10</v>
      </c>
      <c r="C879">
        <v>52</v>
      </c>
      <c r="D879" s="1" t="s">
        <v>18</v>
      </c>
      <c r="E879" s="1" t="s">
        <v>8</v>
      </c>
      <c r="F879" s="1" t="s">
        <v>9</v>
      </c>
    </row>
    <row r="880" spans="1:6">
      <c r="A880">
        <v>1879</v>
      </c>
      <c r="B880" s="1" t="s">
        <v>6</v>
      </c>
      <c r="C880">
        <v>24</v>
      </c>
      <c r="D880" s="1" t="s">
        <v>18</v>
      </c>
      <c r="E880" s="1" t="s">
        <v>8</v>
      </c>
      <c r="F880" s="1" t="s">
        <v>9</v>
      </c>
    </row>
    <row r="881" spans="1:6">
      <c r="A881">
        <v>1880</v>
      </c>
      <c r="B881" s="1" t="s">
        <v>6</v>
      </c>
      <c r="C881">
        <v>38</v>
      </c>
      <c r="D881" s="1" t="s">
        <v>18</v>
      </c>
      <c r="E881" s="1" t="s">
        <v>12</v>
      </c>
      <c r="F881" s="1" t="s">
        <v>15</v>
      </c>
    </row>
    <row r="882" spans="1:6">
      <c r="A882">
        <v>1881</v>
      </c>
      <c r="B882" s="1" t="s">
        <v>6</v>
      </c>
      <c r="C882">
        <v>35</v>
      </c>
      <c r="D882" s="1" t="s">
        <v>7</v>
      </c>
      <c r="E882" s="1" t="s">
        <v>8</v>
      </c>
      <c r="F882" s="1" t="s">
        <v>9</v>
      </c>
    </row>
    <row r="883" spans="1:6">
      <c r="A883">
        <v>1882</v>
      </c>
      <c r="B883" s="1" t="s">
        <v>10</v>
      </c>
      <c r="C883">
        <v>20</v>
      </c>
      <c r="D883" s="1" t="s">
        <v>11</v>
      </c>
      <c r="E883" s="1" t="s">
        <v>8</v>
      </c>
      <c r="F883" s="1" t="s">
        <v>9</v>
      </c>
    </row>
    <row r="884" spans="1:6">
      <c r="A884">
        <v>1883</v>
      </c>
      <c r="B884" s="1" t="s">
        <v>6</v>
      </c>
      <c r="C884">
        <v>59</v>
      </c>
      <c r="D884" s="1" t="s">
        <v>16</v>
      </c>
      <c r="E884" s="1" t="s">
        <v>19</v>
      </c>
      <c r="F884" s="1" t="s">
        <v>15</v>
      </c>
    </row>
    <row r="885" spans="1:6">
      <c r="A885">
        <v>1884</v>
      </c>
      <c r="B885" s="1" t="s">
        <v>6</v>
      </c>
      <c r="C885">
        <v>56</v>
      </c>
      <c r="D885" s="1" t="s">
        <v>11</v>
      </c>
      <c r="E885" s="1" t="s">
        <v>8</v>
      </c>
      <c r="F885" s="1" t="s">
        <v>17</v>
      </c>
    </row>
    <row r="886" spans="1:6">
      <c r="A886">
        <v>1885</v>
      </c>
      <c r="B886" s="1" t="s">
        <v>10</v>
      </c>
      <c r="C886">
        <v>58</v>
      </c>
      <c r="D886" s="1" t="s">
        <v>16</v>
      </c>
      <c r="E886" s="1" t="s">
        <v>8</v>
      </c>
      <c r="F886" s="1" t="s">
        <v>9</v>
      </c>
    </row>
    <row r="887" spans="1:6">
      <c r="A887">
        <v>1886</v>
      </c>
      <c r="B887" s="1" t="s">
        <v>6</v>
      </c>
      <c r="C887">
        <v>28</v>
      </c>
      <c r="D887" s="1" t="s">
        <v>11</v>
      </c>
      <c r="E887" s="1" t="s">
        <v>8</v>
      </c>
      <c r="F887" s="1" t="s">
        <v>14</v>
      </c>
    </row>
    <row r="888" spans="1:6">
      <c r="A888">
        <v>1887</v>
      </c>
      <c r="B888" s="1" t="s">
        <v>10</v>
      </c>
      <c r="C888">
        <v>56</v>
      </c>
      <c r="D888" s="1" t="s">
        <v>11</v>
      </c>
      <c r="E888" s="1" t="s">
        <v>8</v>
      </c>
      <c r="F888" s="1" t="s">
        <v>14</v>
      </c>
    </row>
    <row r="889" spans="1:6">
      <c r="A889">
        <v>1888</v>
      </c>
      <c r="B889" s="1" t="s">
        <v>6</v>
      </c>
      <c r="C889">
        <v>41</v>
      </c>
      <c r="D889" s="1" t="s">
        <v>16</v>
      </c>
      <c r="E889" s="1" t="s">
        <v>12</v>
      </c>
      <c r="F889" s="1" t="s">
        <v>17</v>
      </c>
    </row>
    <row r="890" spans="1:6">
      <c r="A890">
        <v>1889</v>
      </c>
      <c r="B890" s="1" t="s">
        <v>6</v>
      </c>
      <c r="C890">
        <v>63</v>
      </c>
      <c r="D890" s="1" t="s">
        <v>16</v>
      </c>
      <c r="E890" s="1" t="s">
        <v>12</v>
      </c>
      <c r="F890" s="1" t="s">
        <v>20</v>
      </c>
    </row>
    <row r="891" spans="1:6">
      <c r="A891">
        <v>1890</v>
      </c>
      <c r="B891" s="1" t="s">
        <v>6</v>
      </c>
      <c r="C891">
        <v>36</v>
      </c>
      <c r="D891" s="1" t="s">
        <v>16</v>
      </c>
      <c r="E891" s="1" t="s">
        <v>8</v>
      </c>
      <c r="F891" s="1" t="s">
        <v>9</v>
      </c>
    </row>
    <row r="892" spans="1:6">
      <c r="A892">
        <v>1891</v>
      </c>
      <c r="B892" s="1" t="s">
        <v>10</v>
      </c>
      <c r="C892">
        <v>21</v>
      </c>
      <c r="D892" s="1" t="s">
        <v>7</v>
      </c>
      <c r="E892" s="1" t="s">
        <v>12</v>
      </c>
      <c r="F892" s="1" t="s">
        <v>9</v>
      </c>
    </row>
    <row r="893" spans="1:6">
      <c r="A893">
        <v>1892</v>
      </c>
      <c r="B893" s="1" t="s">
        <v>10</v>
      </c>
      <c r="C893">
        <v>43</v>
      </c>
      <c r="D893" s="1" t="s">
        <v>13</v>
      </c>
      <c r="E893" s="1" t="s">
        <v>12</v>
      </c>
      <c r="F893" s="1" t="s">
        <v>17</v>
      </c>
    </row>
    <row r="894" spans="1:6">
      <c r="A894">
        <v>1893</v>
      </c>
      <c r="B894" s="1" t="s">
        <v>10</v>
      </c>
      <c r="C894">
        <v>55</v>
      </c>
      <c r="D894" s="1" t="s">
        <v>16</v>
      </c>
      <c r="E894" s="1" t="s">
        <v>8</v>
      </c>
      <c r="F894" s="1" t="s">
        <v>15</v>
      </c>
    </row>
    <row r="895" spans="1:6">
      <c r="A895">
        <v>1894</v>
      </c>
      <c r="B895" s="1" t="s">
        <v>6</v>
      </c>
      <c r="C895">
        <v>59</v>
      </c>
      <c r="D895" s="1" t="s">
        <v>13</v>
      </c>
      <c r="E895" s="1" t="s">
        <v>12</v>
      </c>
      <c r="F895" s="1" t="s">
        <v>14</v>
      </c>
    </row>
    <row r="896" spans="1:6">
      <c r="A896">
        <v>1895</v>
      </c>
      <c r="B896" s="1" t="s">
        <v>10</v>
      </c>
      <c r="C896">
        <v>49</v>
      </c>
      <c r="D896" s="1" t="s">
        <v>11</v>
      </c>
      <c r="E896" s="1" t="s">
        <v>8</v>
      </c>
      <c r="F896" s="1" t="s">
        <v>14</v>
      </c>
    </row>
    <row r="897" spans="1:6">
      <c r="A897">
        <v>1896</v>
      </c>
      <c r="B897" s="1" t="s">
        <v>6</v>
      </c>
      <c r="C897">
        <v>56</v>
      </c>
      <c r="D897" s="1" t="s">
        <v>16</v>
      </c>
      <c r="E897" s="1" t="s">
        <v>8</v>
      </c>
      <c r="F897" s="1" t="s">
        <v>14</v>
      </c>
    </row>
    <row r="898" spans="1:6">
      <c r="A898">
        <v>1897</v>
      </c>
      <c r="B898" s="1" t="s">
        <v>6</v>
      </c>
      <c r="C898">
        <v>62</v>
      </c>
      <c r="D898" s="1" t="s">
        <v>16</v>
      </c>
      <c r="E898" s="1" t="s">
        <v>8</v>
      </c>
      <c r="F898" s="1" t="s">
        <v>20</v>
      </c>
    </row>
    <row r="899" spans="1:6">
      <c r="A899">
        <v>1898</v>
      </c>
      <c r="B899" s="1" t="s">
        <v>10</v>
      </c>
      <c r="C899">
        <v>63</v>
      </c>
      <c r="D899" s="1" t="s">
        <v>11</v>
      </c>
      <c r="E899" s="1" t="s">
        <v>8</v>
      </c>
      <c r="F899" s="1" t="s">
        <v>20</v>
      </c>
    </row>
    <row r="900" spans="1:6">
      <c r="A900">
        <v>1899</v>
      </c>
      <c r="B900" s="1" t="s">
        <v>6</v>
      </c>
      <c r="C900">
        <v>53</v>
      </c>
      <c r="D900" s="1" t="s">
        <v>18</v>
      </c>
      <c r="E900" s="1" t="s">
        <v>8</v>
      </c>
      <c r="F900" s="1" t="s">
        <v>14</v>
      </c>
    </row>
    <row r="901" spans="1:6">
      <c r="A901">
        <v>1900</v>
      </c>
      <c r="B901" s="1" t="s">
        <v>6</v>
      </c>
      <c r="C901">
        <v>57</v>
      </c>
      <c r="D901" s="1" t="s">
        <v>18</v>
      </c>
      <c r="E901" s="1" t="s">
        <v>12</v>
      </c>
      <c r="F901" s="1" t="s">
        <v>9</v>
      </c>
    </row>
    <row r="902" spans="1:6">
      <c r="A902">
        <v>1901</v>
      </c>
      <c r="B902" s="1" t="s">
        <v>6</v>
      </c>
      <c r="C902">
        <v>54</v>
      </c>
      <c r="D902" s="1" t="s">
        <v>16</v>
      </c>
      <c r="E902" s="1" t="s">
        <v>8</v>
      </c>
      <c r="F902" s="1" t="s">
        <v>17</v>
      </c>
    </row>
    <row r="903" spans="1:6">
      <c r="A903">
        <v>1902</v>
      </c>
      <c r="B903" s="1" t="s">
        <v>6</v>
      </c>
      <c r="C903">
        <v>50</v>
      </c>
      <c r="D903" s="1" t="s">
        <v>16</v>
      </c>
      <c r="E903" s="1" t="s">
        <v>8</v>
      </c>
      <c r="F903" s="1" t="s">
        <v>9</v>
      </c>
    </row>
    <row r="904" spans="1:6">
      <c r="A904">
        <v>1903</v>
      </c>
      <c r="B904" s="1" t="s">
        <v>6</v>
      </c>
      <c r="C904">
        <v>53</v>
      </c>
      <c r="D904" s="1" t="s">
        <v>11</v>
      </c>
      <c r="E904" s="1" t="s">
        <v>8</v>
      </c>
      <c r="F904" s="1" t="s">
        <v>9</v>
      </c>
    </row>
    <row r="905" spans="1:6">
      <c r="A905">
        <v>1904</v>
      </c>
      <c r="B905" s="1" t="s">
        <v>10</v>
      </c>
      <c r="C905">
        <v>20</v>
      </c>
      <c r="D905" s="1" t="s">
        <v>16</v>
      </c>
      <c r="E905" s="1" t="s">
        <v>12</v>
      </c>
      <c r="F905" s="1" t="s">
        <v>17</v>
      </c>
    </row>
    <row r="906" spans="1:6">
      <c r="A906">
        <v>1905</v>
      </c>
      <c r="B906" s="1" t="s">
        <v>6</v>
      </c>
      <c r="C906">
        <v>26</v>
      </c>
      <c r="D906" s="1" t="s">
        <v>16</v>
      </c>
      <c r="E906" s="1" t="s">
        <v>12</v>
      </c>
      <c r="F906" s="1" t="s">
        <v>9</v>
      </c>
    </row>
    <row r="907" spans="1:6">
      <c r="A907">
        <v>1906</v>
      </c>
      <c r="B907" s="1" t="s">
        <v>10</v>
      </c>
      <c r="C907">
        <v>25</v>
      </c>
      <c r="D907" s="1" t="s">
        <v>16</v>
      </c>
      <c r="E907" s="1" t="s">
        <v>12</v>
      </c>
      <c r="F907" s="1" t="s">
        <v>9</v>
      </c>
    </row>
    <row r="908" spans="1:6">
      <c r="A908">
        <v>1907</v>
      </c>
      <c r="B908" s="1" t="s">
        <v>10</v>
      </c>
      <c r="C908">
        <v>50</v>
      </c>
      <c r="D908" s="1" t="s">
        <v>7</v>
      </c>
      <c r="E908" s="1" t="s">
        <v>12</v>
      </c>
      <c r="F908" s="1" t="s">
        <v>9</v>
      </c>
    </row>
    <row r="909" spans="1:6">
      <c r="A909">
        <v>1908</v>
      </c>
      <c r="B909" s="1" t="s">
        <v>6</v>
      </c>
      <c r="C909">
        <v>23</v>
      </c>
      <c r="D909" s="1" t="s">
        <v>13</v>
      </c>
      <c r="E909" s="1" t="s">
        <v>19</v>
      </c>
      <c r="F909" s="1" t="s">
        <v>17</v>
      </c>
    </row>
    <row r="910" spans="1:6">
      <c r="A910">
        <v>1909</v>
      </c>
      <c r="B910" s="1" t="s">
        <v>6</v>
      </c>
      <c r="C910">
        <v>58</v>
      </c>
      <c r="D910" s="1" t="s">
        <v>11</v>
      </c>
      <c r="E910" s="1" t="s">
        <v>8</v>
      </c>
      <c r="F910" s="1" t="s">
        <v>15</v>
      </c>
    </row>
    <row r="911" spans="1:6">
      <c r="A911">
        <v>1910</v>
      </c>
      <c r="B911" s="1" t="s">
        <v>6</v>
      </c>
      <c r="C911">
        <v>56</v>
      </c>
      <c r="D911" s="1" t="s">
        <v>7</v>
      </c>
      <c r="E911" s="1" t="s">
        <v>12</v>
      </c>
      <c r="F911" s="1" t="s">
        <v>14</v>
      </c>
    </row>
    <row r="912" spans="1:6">
      <c r="A912">
        <v>1911</v>
      </c>
      <c r="B912" s="1" t="s">
        <v>10</v>
      </c>
      <c r="C912">
        <v>21</v>
      </c>
      <c r="D912" s="1" t="s">
        <v>16</v>
      </c>
      <c r="E912" s="1" t="s">
        <v>12</v>
      </c>
      <c r="F912" s="1" t="s">
        <v>9</v>
      </c>
    </row>
    <row r="913" spans="1:6">
      <c r="A913">
        <v>1912</v>
      </c>
      <c r="B913" s="1" t="s">
        <v>6</v>
      </c>
      <c r="C913">
        <v>30</v>
      </c>
      <c r="D913" s="1" t="s">
        <v>11</v>
      </c>
      <c r="E913" s="1" t="s">
        <v>19</v>
      </c>
      <c r="F913" s="1" t="s">
        <v>17</v>
      </c>
    </row>
    <row r="914" spans="1:6">
      <c r="A914">
        <v>1913</v>
      </c>
      <c r="B914" s="1" t="s">
        <v>10</v>
      </c>
      <c r="C914">
        <v>19</v>
      </c>
      <c r="D914" s="1" t="s">
        <v>16</v>
      </c>
      <c r="E914" s="1" t="s">
        <v>19</v>
      </c>
      <c r="F914" s="1" t="s">
        <v>17</v>
      </c>
    </row>
    <row r="915" spans="1:6">
      <c r="A915">
        <v>1914</v>
      </c>
      <c r="B915" s="1" t="s">
        <v>6</v>
      </c>
      <c r="C915">
        <v>22</v>
      </c>
      <c r="D915" s="1" t="s">
        <v>11</v>
      </c>
      <c r="E915" s="1" t="s">
        <v>8</v>
      </c>
      <c r="F915" s="1" t="s">
        <v>15</v>
      </c>
    </row>
    <row r="916" spans="1:6">
      <c r="A916">
        <v>1915</v>
      </c>
      <c r="B916" s="1" t="s">
        <v>10</v>
      </c>
      <c r="C916">
        <v>61</v>
      </c>
      <c r="D916" s="1" t="s">
        <v>13</v>
      </c>
      <c r="E916" s="1" t="s">
        <v>8</v>
      </c>
      <c r="F916" s="1" t="s">
        <v>15</v>
      </c>
    </row>
    <row r="917" spans="1:6">
      <c r="A917">
        <v>1916</v>
      </c>
      <c r="B917" s="1" t="s">
        <v>6</v>
      </c>
      <c r="C917">
        <v>44</v>
      </c>
      <c r="D917" s="1" t="s">
        <v>11</v>
      </c>
      <c r="E917" s="1" t="s">
        <v>8</v>
      </c>
      <c r="F917" s="1" t="s">
        <v>9</v>
      </c>
    </row>
    <row r="918" spans="1:6">
      <c r="A918">
        <v>1917</v>
      </c>
      <c r="B918" s="1" t="s">
        <v>6</v>
      </c>
      <c r="C918">
        <v>49</v>
      </c>
      <c r="D918" s="1" t="s">
        <v>16</v>
      </c>
      <c r="E918" s="1" t="s">
        <v>12</v>
      </c>
      <c r="F918" s="1" t="s">
        <v>20</v>
      </c>
    </row>
    <row r="919" spans="1:6">
      <c r="A919">
        <v>1918</v>
      </c>
      <c r="B919" s="1" t="s">
        <v>10</v>
      </c>
      <c r="C919">
        <v>38</v>
      </c>
      <c r="D919" s="1" t="s">
        <v>11</v>
      </c>
      <c r="E919" s="1" t="s">
        <v>8</v>
      </c>
      <c r="F919" s="1" t="s">
        <v>14</v>
      </c>
    </row>
    <row r="920" spans="1:6">
      <c r="A920">
        <v>1919</v>
      </c>
      <c r="B920" s="1" t="s">
        <v>10</v>
      </c>
      <c r="C920">
        <v>25</v>
      </c>
      <c r="D920" s="1" t="s">
        <v>16</v>
      </c>
      <c r="E920" s="1" t="s">
        <v>8</v>
      </c>
      <c r="F920" s="1" t="s">
        <v>20</v>
      </c>
    </row>
    <row r="921" spans="1:6">
      <c r="A921">
        <v>1920</v>
      </c>
      <c r="B921" s="1" t="s">
        <v>6</v>
      </c>
      <c r="C921">
        <v>55</v>
      </c>
      <c r="D921" s="1" t="s">
        <v>7</v>
      </c>
      <c r="E921" s="1" t="s">
        <v>12</v>
      </c>
      <c r="F921" s="1" t="s">
        <v>15</v>
      </c>
    </row>
    <row r="922" spans="1:6">
      <c r="A922">
        <v>1921</v>
      </c>
      <c r="B922" s="1" t="s">
        <v>10</v>
      </c>
      <c r="C922">
        <v>25</v>
      </c>
      <c r="D922" s="1" t="s">
        <v>11</v>
      </c>
      <c r="E922" s="1" t="s">
        <v>8</v>
      </c>
      <c r="F922" s="1" t="s">
        <v>17</v>
      </c>
    </row>
    <row r="923" spans="1:6">
      <c r="A923">
        <v>1922</v>
      </c>
      <c r="B923" s="1" t="s">
        <v>6</v>
      </c>
      <c r="C923">
        <v>20</v>
      </c>
      <c r="D923" s="1" t="s">
        <v>11</v>
      </c>
      <c r="E923" s="1" t="s">
        <v>19</v>
      </c>
      <c r="F923" s="1" t="s">
        <v>17</v>
      </c>
    </row>
    <row r="924" spans="1:6">
      <c r="A924">
        <v>1923</v>
      </c>
      <c r="B924" s="1" t="s">
        <v>10</v>
      </c>
      <c r="C924">
        <v>61</v>
      </c>
      <c r="D924" s="1" t="s">
        <v>11</v>
      </c>
      <c r="E924" s="1" t="s">
        <v>8</v>
      </c>
      <c r="F924" s="1" t="s">
        <v>14</v>
      </c>
    </row>
    <row r="925" spans="1:6">
      <c r="A925">
        <v>1924</v>
      </c>
      <c r="B925" s="1" t="s">
        <v>10</v>
      </c>
      <c r="C925">
        <v>20</v>
      </c>
      <c r="D925" s="1" t="s">
        <v>11</v>
      </c>
      <c r="E925" s="1" t="s">
        <v>8</v>
      </c>
      <c r="F925" s="1" t="s">
        <v>20</v>
      </c>
    </row>
    <row r="926" spans="1:6">
      <c r="A926">
        <v>1925</v>
      </c>
      <c r="B926" s="1" t="s">
        <v>6</v>
      </c>
      <c r="C926">
        <v>39</v>
      </c>
      <c r="D926" s="1" t="s">
        <v>16</v>
      </c>
      <c r="E926" s="1" t="s">
        <v>8</v>
      </c>
      <c r="F926" s="1" t="s">
        <v>15</v>
      </c>
    </row>
    <row r="927" spans="1:6">
      <c r="A927">
        <v>1926</v>
      </c>
      <c r="B927" s="1" t="s">
        <v>6</v>
      </c>
      <c r="C927">
        <v>23</v>
      </c>
      <c r="D927" s="1" t="s">
        <v>18</v>
      </c>
      <c r="E927" s="1" t="s">
        <v>12</v>
      </c>
      <c r="F927" s="1" t="s">
        <v>9</v>
      </c>
    </row>
    <row r="928" spans="1:6">
      <c r="A928">
        <v>1927</v>
      </c>
      <c r="B928" s="1" t="s">
        <v>6</v>
      </c>
      <c r="C928">
        <v>19</v>
      </c>
      <c r="D928" s="1" t="s">
        <v>16</v>
      </c>
      <c r="E928" s="1" t="s">
        <v>8</v>
      </c>
      <c r="F928" s="1" t="s">
        <v>14</v>
      </c>
    </row>
    <row r="929" spans="1:6">
      <c r="A929">
        <v>1928</v>
      </c>
      <c r="B929" s="1" t="s">
        <v>10</v>
      </c>
      <c r="C929">
        <v>40</v>
      </c>
      <c r="D929" s="1" t="s">
        <v>18</v>
      </c>
      <c r="E929" s="1" t="s">
        <v>8</v>
      </c>
      <c r="F929" s="1" t="s">
        <v>14</v>
      </c>
    </row>
    <row r="930" spans="1:6">
      <c r="A930">
        <v>1929</v>
      </c>
      <c r="B930" s="1" t="s">
        <v>10</v>
      </c>
      <c r="C930">
        <v>61</v>
      </c>
      <c r="D930" s="1" t="s">
        <v>7</v>
      </c>
      <c r="E930" s="1" t="s">
        <v>19</v>
      </c>
      <c r="F930" s="1" t="s">
        <v>14</v>
      </c>
    </row>
    <row r="931" spans="1:6">
      <c r="A931">
        <v>1930</v>
      </c>
      <c r="B931" s="1" t="s">
        <v>6</v>
      </c>
      <c r="C931">
        <v>19</v>
      </c>
      <c r="D931" s="1" t="s">
        <v>7</v>
      </c>
      <c r="E931" s="1" t="s">
        <v>8</v>
      </c>
      <c r="F931" s="1" t="s">
        <v>9</v>
      </c>
    </row>
    <row r="932" spans="1:6">
      <c r="A932">
        <v>1931</v>
      </c>
      <c r="B932" s="1" t="s">
        <v>6</v>
      </c>
      <c r="C932">
        <v>55</v>
      </c>
      <c r="D932" s="1" t="s">
        <v>11</v>
      </c>
      <c r="E932" s="1" t="s">
        <v>12</v>
      </c>
      <c r="F932" s="1" t="s">
        <v>15</v>
      </c>
    </row>
    <row r="933" spans="1:6">
      <c r="A933">
        <v>1932</v>
      </c>
      <c r="B933" s="1" t="s">
        <v>10</v>
      </c>
      <c r="C933">
        <v>34</v>
      </c>
      <c r="D933" s="1" t="s">
        <v>11</v>
      </c>
      <c r="E933" s="1" t="s">
        <v>12</v>
      </c>
      <c r="F933" s="1" t="s">
        <v>15</v>
      </c>
    </row>
    <row r="934" spans="1:6">
      <c r="A934">
        <v>1933</v>
      </c>
      <c r="B934" s="1" t="s">
        <v>10</v>
      </c>
      <c r="C934">
        <v>52</v>
      </c>
      <c r="D934" s="1" t="s">
        <v>16</v>
      </c>
      <c r="E934" s="1" t="s">
        <v>8</v>
      </c>
      <c r="F934" s="1" t="s">
        <v>15</v>
      </c>
    </row>
    <row r="935" spans="1:6">
      <c r="A935">
        <v>1934</v>
      </c>
      <c r="B935" s="1" t="s">
        <v>10</v>
      </c>
      <c r="C935">
        <v>51</v>
      </c>
      <c r="D935" s="1" t="s">
        <v>18</v>
      </c>
      <c r="E935" s="1" t="s">
        <v>12</v>
      </c>
      <c r="F935" s="1" t="s">
        <v>14</v>
      </c>
    </row>
    <row r="936" spans="1:6">
      <c r="A936">
        <v>1935</v>
      </c>
      <c r="B936" s="1" t="s">
        <v>6</v>
      </c>
      <c r="C936">
        <v>40</v>
      </c>
      <c r="D936" s="1" t="s">
        <v>16</v>
      </c>
      <c r="E936" s="1" t="s">
        <v>8</v>
      </c>
      <c r="F936" s="1" t="s">
        <v>14</v>
      </c>
    </row>
    <row r="937" spans="1:6">
      <c r="A937">
        <v>1936</v>
      </c>
      <c r="B937" s="1" t="s">
        <v>6</v>
      </c>
      <c r="C937">
        <v>47</v>
      </c>
      <c r="D937" s="1" t="s">
        <v>11</v>
      </c>
      <c r="E937" s="1" t="s">
        <v>12</v>
      </c>
      <c r="F937" s="1" t="s">
        <v>9</v>
      </c>
    </row>
    <row r="938" spans="1:6">
      <c r="A938">
        <v>1937</v>
      </c>
      <c r="B938" s="1" t="s">
        <v>6</v>
      </c>
      <c r="C938">
        <v>25</v>
      </c>
      <c r="D938" s="1" t="s">
        <v>16</v>
      </c>
      <c r="E938" s="1" t="s">
        <v>8</v>
      </c>
      <c r="F938" s="1" t="s">
        <v>15</v>
      </c>
    </row>
    <row r="939" spans="1:6">
      <c r="A939">
        <v>1938</v>
      </c>
      <c r="B939" s="1" t="s">
        <v>10</v>
      </c>
      <c r="C939">
        <v>39</v>
      </c>
      <c r="D939" s="1" t="s">
        <v>16</v>
      </c>
      <c r="E939" s="1" t="s">
        <v>12</v>
      </c>
      <c r="F939" s="1" t="s">
        <v>9</v>
      </c>
    </row>
    <row r="940" spans="1:6">
      <c r="A940">
        <v>1939</v>
      </c>
      <c r="B940" s="1" t="s">
        <v>6</v>
      </c>
      <c r="C940">
        <v>61</v>
      </c>
      <c r="D940" s="1" t="s">
        <v>11</v>
      </c>
      <c r="E940" s="1" t="s">
        <v>8</v>
      </c>
      <c r="F940" s="1" t="s">
        <v>9</v>
      </c>
    </row>
    <row r="941" spans="1:6">
      <c r="A941">
        <v>1940</v>
      </c>
      <c r="B941" s="1" t="s">
        <v>10</v>
      </c>
      <c r="C941">
        <v>53</v>
      </c>
      <c r="D941" s="1" t="s">
        <v>16</v>
      </c>
      <c r="E941" s="1" t="s">
        <v>12</v>
      </c>
      <c r="F941" s="1" t="s">
        <v>17</v>
      </c>
    </row>
    <row r="942" spans="1:6">
      <c r="A942">
        <v>1941</v>
      </c>
      <c r="B942" s="1" t="s">
        <v>6</v>
      </c>
      <c r="C942">
        <v>22</v>
      </c>
      <c r="D942" s="1" t="s">
        <v>18</v>
      </c>
      <c r="E942" s="1" t="s">
        <v>8</v>
      </c>
      <c r="F942" s="1" t="s">
        <v>20</v>
      </c>
    </row>
    <row r="943" spans="1:6">
      <c r="A943">
        <v>1942</v>
      </c>
      <c r="B943" s="1" t="s">
        <v>10</v>
      </c>
      <c r="C943">
        <v>30</v>
      </c>
      <c r="D943" s="1" t="s">
        <v>16</v>
      </c>
      <c r="E943" s="1" t="s">
        <v>8</v>
      </c>
      <c r="F943" s="1" t="s">
        <v>15</v>
      </c>
    </row>
    <row r="944" spans="1:6">
      <c r="A944">
        <v>1943</v>
      </c>
      <c r="B944" s="1" t="s">
        <v>10</v>
      </c>
      <c r="C944">
        <v>46</v>
      </c>
      <c r="D944" s="1" t="s">
        <v>16</v>
      </c>
      <c r="E944" s="1" t="s">
        <v>8</v>
      </c>
      <c r="F944" s="1" t="s">
        <v>17</v>
      </c>
    </row>
    <row r="945" spans="1:6">
      <c r="A945">
        <v>1944</v>
      </c>
      <c r="B945" s="1" t="s">
        <v>10</v>
      </c>
      <c r="C945">
        <v>48</v>
      </c>
      <c r="D945" s="1" t="s">
        <v>11</v>
      </c>
      <c r="E945" s="1" t="s">
        <v>8</v>
      </c>
      <c r="F945" s="1" t="s">
        <v>17</v>
      </c>
    </row>
    <row r="946" spans="1:6">
      <c r="A946">
        <v>1945</v>
      </c>
      <c r="B946" s="1" t="s">
        <v>6</v>
      </c>
      <c r="C946">
        <v>64</v>
      </c>
      <c r="D946" s="1" t="s">
        <v>16</v>
      </c>
      <c r="E946" s="1" t="s">
        <v>12</v>
      </c>
      <c r="F946" s="1" t="s">
        <v>17</v>
      </c>
    </row>
    <row r="947" spans="1:6">
      <c r="A947">
        <v>1946</v>
      </c>
      <c r="B947" s="1" t="s">
        <v>6</v>
      </c>
      <c r="C947">
        <v>33</v>
      </c>
      <c r="D947" s="1" t="s">
        <v>16</v>
      </c>
      <c r="E947" s="1" t="s">
        <v>8</v>
      </c>
      <c r="F947" s="1" t="s">
        <v>9</v>
      </c>
    </row>
    <row r="948" spans="1:6">
      <c r="A948">
        <v>1947</v>
      </c>
      <c r="B948" s="1" t="s">
        <v>6</v>
      </c>
      <c r="C948">
        <v>59</v>
      </c>
      <c r="D948" s="1" t="s">
        <v>18</v>
      </c>
      <c r="E948" s="1" t="s">
        <v>19</v>
      </c>
      <c r="F948" s="1" t="s">
        <v>20</v>
      </c>
    </row>
    <row r="949" spans="1:6">
      <c r="A949">
        <v>1948</v>
      </c>
      <c r="B949" s="1" t="s">
        <v>10</v>
      </c>
      <c r="C949">
        <v>47</v>
      </c>
      <c r="D949" s="1" t="s">
        <v>16</v>
      </c>
      <c r="E949" s="1" t="s">
        <v>19</v>
      </c>
      <c r="F949" s="1" t="s">
        <v>15</v>
      </c>
    </row>
    <row r="950" spans="1:6">
      <c r="A950">
        <v>1949</v>
      </c>
      <c r="B950" s="1" t="s">
        <v>10</v>
      </c>
      <c r="C950">
        <v>33</v>
      </c>
      <c r="D950" s="1" t="s">
        <v>7</v>
      </c>
      <c r="E950" s="1" t="s">
        <v>12</v>
      </c>
      <c r="F950" s="1" t="s">
        <v>15</v>
      </c>
    </row>
    <row r="951" spans="1:6">
      <c r="A951">
        <v>1950</v>
      </c>
      <c r="B951" s="1" t="s">
        <v>10</v>
      </c>
      <c r="C951">
        <v>29</v>
      </c>
      <c r="D951" s="1" t="s">
        <v>16</v>
      </c>
      <c r="E951" s="1" t="s">
        <v>8</v>
      </c>
      <c r="F951" s="1" t="s">
        <v>9</v>
      </c>
    </row>
    <row r="952" spans="1:6">
      <c r="A952">
        <v>1951</v>
      </c>
      <c r="B952" s="1" t="s">
        <v>10</v>
      </c>
      <c r="C952">
        <v>34</v>
      </c>
      <c r="D952" s="1" t="s">
        <v>16</v>
      </c>
      <c r="E952" s="1" t="s">
        <v>8</v>
      </c>
      <c r="F952" s="1" t="s">
        <v>15</v>
      </c>
    </row>
    <row r="953" spans="1:6">
      <c r="A953">
        <v>1952</v>
      </c>
      <c r="B953" s="1" t="s">
        <v>10</v>
      </c>
      <c r="C953">
        <v>33</v>
      </c>
      <c r="D953" s="1" t="s">
        <v>18</v>
      </c>
      <c r="E953" s="1" t="s">
        <v>12</v>
      </c>
      <c r="F953" s="1" t="s">
        <v>9</v>
      </c>
    </row>
    <row r="954" spans="1:6">
      <c r="A954">
        <v>1953</v>
      </c>
      <c r="B954" s="1" t="s">
        <v>6</v>
      </c>
      <c r="C954">
        <v>29</v>
      </c>
      <c r="D954" s="1" t="s">
        <v>16</v>
      </c>
      <c r="E954" s="1" t="s">
        <v>8</v>
      </c>
      <c r="F954" s="1" t="s">
        <v>9</v>
      </c>
    </row>
    <row r="955" spans="1:6">
      <c r="A955">
        <v>1954</v>
      </c>
      <c r="B955" s="1" t="s">
        <v>10</v>
      </c>
      <c r="C955">
        <v>25</v>
      </c>
      <c r="D955" s="1" t="s">
        <v>16</v>
      </c>
      <c r="E955" s="1" t="s">
        <v>8</v>
      </c>
      <c r="F955" s="1" t="s">
        <v>15</v>
      </c>
    </row>
    <row r="956" spans="1:6">
      <c r="A956">
        <v>1955</v>
      </c>
      <c r="B956" s="1" t="s">
        <v>6</v>
      </c>
      <c r="C956">
        <v>37</v>
      </c>
      <c r="D956" s="1" t="s">
        <v>16</v>
      </c>
      <c r="E956" s="1" t="s">
        <v>12</v>
      </c>
      <c r="F956" s="1" t="s">
        <v>17</v>
      </c>
    </row>
    <row r="957" spans="1:6">
      <c r="A957">
        <v>1956</v>
      </c>
      <c r="B957" s="1" t="s">
        <v>6</v>
      </c>
      <c r="C957">
        <v>20</v>
      </c>
      <c r="D957" s="1" t="s">
        <v>16</v>
      </c>
      <c r="E957" s="1" t="s">
        <v>12</v>
      </c>
      <c r="F957" s="1" t="s">
        <v>17</v>
      </c>
    </row>
    <row r="958" spans="1:6">
      <c r="A958">
        <v>1957</v>
      </c>
      <c r="B958" s="1" t="s">
        <v>6</v>
      </c>
      <c r="C958">
        <v>33</v>
      </c>
      <c r="D958" s="1" t="s">
        <v>7</v>
      </c>
      <c r="E958" s="1" t="s">
        <v>12</v>
      </c>
      <c r="F958" s="1" t="s">
        <v>15</v>
      </c>
    </row>
    <row r="959" spans="1:6">
      <c r="A959">
        <v>1958</v>
      </c>
      <c r="B959" s="1" t="s">
        <v>6</v>
      </c>
      <c r="C959">
        <v>47</v>
      </c>
      <c r="D959" s="1" t="s">
        <v>16</v>
      </c>
      <c r="E959" s="1" t="s">
        <v>8</v>
      </c>
      <c r="F959" s="1" t="s">
        <v>17</v>
      </c>
    </row>
    <row r="960" spans="1:6">
      <c r="A960">
        <v>1959</v>
      </c>
      <c r="B960" s="1" t="s">
        <v>6</v>
      </c>
      <c r="C960">
        <v>62</v>
      </c>
      <c r="D960" s="1" t="s">
        <v>18</v>
      </c>
      <c r="E960" s="1" t="s">
        <v>12</v>
      </c>
      <c r="F960" s="1" t="s">
        <v>17</v>
      </c>
    </row>
    <row r="961" spans="1:6">
      <c r="A961">
        <v>1960</v>
      </c>
      <c r="B961" s="1" t="s">
        <v>10</v>
      </c>
      <c r="C961">
        <v>40</v>
      </c>
      <c r="D961" s="1" t="s">
        <v>7</v>
      </c>
      <c r="E961" s="1" t="s">
        <v>8</v>
      </c>
      <c r="F961" s="1" t="s">
        <v>17</v>
      </c>
    </row>
    <row r="962" spans="1:6">
      <c r="A962">
        <v>1961</v>
      </c>
      <c r="B962" s="1" t="s">
        <v>6</v>
      </c>
      <c r="C962">
        <v>45</v>
      </c>
      <c r="D962" s="1" t="s">
        <v>11</v>
      </c>
      <c r="E962" s="1" t="s">
        <v>8</v>
      </c>
      <c r="F962" s="1" t="s">
        <v>9</v>
      </c>
    </row>
    <row r="963" spans="1:6">
      <c r="A963">
        <v>1962</v>
      </c>
      <c r="B963" s="1" t="s">
        <v>10</v>
      </c>
      <c r="C963">
        <v>57</v>
      </c>
      <c r="D963" s="1" t="s">
        <v>7</v>
      </c>
      <c r="E963" s="1" t="s">
        <v>19</v>
      </c>
      <c r="F963" s="1" t="s">
        <v>14</v>
      </c>
    </row>
    <row r="964" spans="1:6">
      <c r="A964">
        <v>1963</v>
      </c>
      <c r="B964" s="1" t="s">
        <v>6</v>
      </c>
      <c r="C964">
        <v>22</v>
      </c>
      <c r="D964" s="1" t="s">
        <v>16</v>
      </c>
      <c r="E964" s="1" t="s">
        <v>8</v>
      </c>
      <c r="F964" s="1" t="s">
        <v>20</v>
      </c>
    </row>
    <row r="965" spans="1:6">
      <c r="A965">
        <v>1964</v>
      </c>
      <c r="B965" s="1" t="s">
        <v>6</v>
      </c>
      <c r="C965">
        <v>37</v>
      </c>
      <c r="D965" s="1" t="s">
        <v>13</v>
      </c>
      <c r="E965" s="1" t="s">
        <v>8</v>
      </c>
      <c r="F965" s="1" t="s">
        <v>14</v>
      </c>
    </row>
    <row r="966" spans="1:6">
      <c r="A966">
        <v>1965</v>
      </c>
      <c r="B966" s="1" t="s">
        <v>6</v>
      </c>
      <c r="C966">
        <v>57</v>
      </c>
      <c r="D966" s="1" t="s">
        <v>16</v>
      </c>
      <c r="E966" s="1" t="s">
        <v>8</v>
      </c>
      <c r="F966" s="1" t="s">
        <v>15</v>
      </c>
    </row>
    <row r="967" spans="1:6">
      <c r="A967">
        <v>1966</v>
      </c>
      <c r="B967" s="1" t="s">
        <v>6</v>
      </c>
      <c r="C967">
        <v>61</v>
      </c>
      <c r="D967" s="1" t="s">
        <v>18</v>
      </c>
      <c r="E967" s="1" t="s">
        <v>19</v>
      </c>
      <c r="F967" s="1" t="s">
        <v>15</v>
      </c>
    </row>
    <row r="968" spans="1:6">
      <c r="A968">
        <v>1967</v>
      </c>
      <c r="B968" s="1" t="s">
        <v>10</v>
      </c>
      <c r="C968">
        <v>18</v>
      </c>
      <c r="D968" s="1" t="s">
        <v>11</v>
      </c>
      <c r="E968" s="1" t="s">
        <v>12</v>
      </c>
      <c r="F968" s="1" t="s">
        <v>14</v>
      </c>
    </row>
    <row r="969" spans="1:6">
      <c r="A969">
        <v>1968</v>
      </c>
      <c r="B969" s="1" t="s">
        <v>6</v>
      </c>
      <c r="C969">
        <v>47</v>
      </c>
      <c r="D969" s="1" t="s">
        <v>16</v>
      </c>
      <c r="E969" s="1" t="s">
        <v>12</v>
      </c>
      <c r="F969" s="1" t="s">
        <v>15</v>
      </c>
    </row>
    <row r="970" spans="1:6">
      <c r="A970">
        <v>1969</v>
      </c>
      <c r="B970" s="1" t="s">
        <v>10</v>
      </c>
      <c r="C970">
        <v>38</v>
      </c>
      <c r="D970" s="1" t="s">
        <v>11</v>
      </c>
      <c r="E970" s="1" t="s">
        <v>12</v>
      </c>
      <c r="F970" s="1" t="s">
        <v>9</v>
      </c>
    </row>
    <row r="971" spans="1:6">
      <c r="A971">
        <v>1970</v>
      </c>
      <c r="B971" s="1" t="s">
        <v>6</v>
      </c>
      <c r="C971">
        <v>37</v>
      </c>
      <c r="D971" s="1" t="s">
        <v>18</v>
      </c>
      <c r="E971" s="1" t="s">
        <v>8</v>
      </c>
      <c r="F971" s="1" t="s">
        <v>15</v>
      </c>
    </row>
    <row r="972" spans="1:6">
      <c r="A972">
        <v>1971</v>
      </c>
      <c r="B972" s="1" t="s">
        <v>10</v>
      </c>
      <c r="C972">
        <v>23</v>
      </c>
      <c r="D972" s="1" t="s">
        <v>16</v>
      </c>
      <c r="E972" s="1" t="s">
        <v>8</v>
      </c>
      <c r="F972" s="1" t="s">
        <v>17</v>
      </c>
    </row>
    <row r="973" spans="1:6">
      <c r="A973">
        <v>1972</v>
      </c>
      <c r="B973" s="1" t="s">
        <v>10</v>
      </c>
      <c r="C973">
        <v>39</v>
      </c>
      <c r="D973" s="1" t="s">
        <v>16</v>
      </c>
      <c r="E973" s="1" t="s">
        <v>8</v>
      </c>
      <c r="F973" s="1" t="s">
        <v>17</v>
      </c>
    </row>
    <row r="974" spans="1:6">
      <c r="A974">
        <v>1973</v>
      </c>
      <c r="B974" s="1" t="s">
        <v>10</v>
      </c>
      <c r="C974">
        <v>35</v>
      </c>
      <c r="D974" s="1" t="s">
        <v>18</v>
      </c>
      <c r="E974" s="1" t="s">
        <v>8</v>
      </c>
      <c r="F974" s="1" t="s">
        <v>9</v>
      </c>
    </row>
    <row r="975" spans="1:6">
      <c r="A975">
        <v>1974</v>
      </c>
      <c r="B975" s="1" t="s">
        <v>6</v>
      </c>
      <c r="C975">
        <v>25</v>
      </c>
      <c r="D975" s="1" t="s">
        <v>18</v>
      </c>
      <c r="E975" s="1" t="s">
        <v>8</v>
      </c>
      <c r="F975" s="1" t="s">
        <v>20</v>
      </c>
    </row>
    <row r="976" spans="1:6">
      <c r="A976">
        <v>1975</v>
      </c>
      <c r="B976" s="1" t="s">
        <v>6</v>
      </c>
      <c r="C976">
        <v>56</v>
      </c>
      <c r="D976" s="1" t="s">
        <v>13</v>
      </c>
      <c r="E976" s="1" t="s">
        <v>19</v>
      </c>
      <c r="F976" s="1" t="s">
        <v>15</v>
      </c>
    </row>
    <row r="977" spans="1:6">
      <c r="A977">
        <v>1976</v>
      </c>
      <c r="B977" s="1" t="s">
        <v>6</v>
      </c>
      <c r="C977">
        <v>49</v>
      </c>
      <c r="D977" s="1" t="s">
        <v>18</v>
      </c>
      <c r="E977" s="1" t="s">
        <v>8</v>
      </c>
      <c r="F977" s="1" t="s">
        <v>14</v>
      </c>
    </row>
    <row r="978" spans="1:6">
      <c r="A978">
        <v>1977</v>
      </c>
      <c r="B978" s="1" t="s">
        <v>10</v>
      </c>
      <c r="C978">
        <v>50</v>
      </c>
      <c r="D978" s="1" t="s">
        <v>13</v>
      </c>
      <c r="E978" s="1" t="s">
        <v>8</v>
      </c>
      <c r="F978" s="1" t="s">
        <v>17</v>
      </c>
    </row>
    <row r="979" spans="1:6">
      <c r="A979">
        <v>1978</v>
      </c>
      <c r="B979" s="1" t="s">
        <v>6</v>
      </c>
      <c r="C979">
        <v>33</v>
      </c>
      <c r="D979" s="1" t="s">
        <v>18</v>
      </c>
      <c r="E979" s="1" t="s">
        <v>8</v>
      </c>
      <c r="F979" s="1" t="s">
        <v>17</v>
      </c>
    </row>
    <row r="980" spans="1:6">
      <c r="A980">
        <v>1979</v>
      </c>
      <c r="B980" s="1" t="s">
        <v>6</v>
      </c>
      <c r="C980">
        <v>29</v>
      </c>
      <c r="D980" s="1" t="s">
        <v>16</v>
      </c>
      <c r="E980" s="1" t="s">
        <v>8</v>
      </c>
      <c r="F980" s="1" t="s">
        <v>20</v>
      </c>
    </row>
    <row r="981" spans="1:6">
      <c r="A981">
        <v>1980</v>
      </c>
      <c r="B981" s="1" t="s">
        <v>10</v>
      </c>
      <c r="C981">
        <v>55</v>
      </c>
      <c r="D981" s="1" t="s">
        <v>16</v>
      </c>
      <c r="E981" s="1" t="s">
        <v>19</v>
      </c>
      <c r="F981" s="1" t="s">
        <v>15</v>
      </c>
    </row>
    <row r="982" spans="1:6">
      <c r="A982">
        <v>1981</v>
      </c>
      <c r="B982" s="1" t="s">
        <v>6</v>
      </c>
      <c r="C982">
        <v>51</v>
      </c>
      <c r="D982" s="1" t="s">
        <v>18</v>
      </c>
      <c r="E982" s="1" t="s">
        <v>8</v>
      </c>
      <c r="F982" s="1" t="s">
        <v>17</v>
      </c>
    </row>
    <row r="983" spans="1:6">
      <c r="A983">
        <v>1982</v>
      </c>
      <c r="B983" s="1" t="s">
        <v>10</v>
      </c>
      <c r="C983">
        <v>31</v>
      </c>
      <c r="D983" s="1" t="s">
        <v>11</v>
      </c>
      <c r="E983" s="1" t="s">
        <v>8</v>
      </c>
      <c r="F983" s="1" t="s">
        <v>9</v>
      </c>
    </row>
    <row r="984" spans="1:6">
      <c r="A984">
        <v>1983</v>
      </c>
      <c r="B984" s="1" t="s">
        <v>6</v>
      </c>
      <c r="C984">
        <v>53</v>
      </c>
      <c r="D984" s="1" t="s">
        <v>16</v>
      </c>
      <c r="E984" s="1" t="s">
        <v>12</v>
      </c>
      <c r="F984" s="1" t="s">
        <v>14</v>
      </c>
    </row>
    <row r="985" spans="1:6">
      <c r="A985">
        <v>1984</v>
      </c>
      <c r="B985" s="1" t="s">
        <v>6</v>
      </c>
      <c r="C985">
        <v>50</v>
      </c>
      <c r="D985" s="1" t="s">
        <v>16</v>
      </c>
      <c r="E985" s="1" t="s">
        <v>8</v>
      </c>
      <c r="F985" s="1" t="s">
        <v>14</v>
      </c>
    </row>
    <row r="986" spans="1:6">
      <c r="A986">
        <v>1985</v>
      </c>
      <c r="B986" s="1" t="s">
        <v>10</v>
      </c>
      <c r="C986">
        <v>40</v>
      </c>
      <c r="D986" s="1" t="s">
        <v>13</v>
      </c>
      <c r="E986" s="1" t="s">
        <v>8</v>
      </c>
      <c r="F986" s="1" t="s">
        <v>14</v>
      </c>
    </row>
    <row r="987" spans="1:6">
      <c r="A987">
        <v>1986</v>
      </c>
      <c r="B987" s="1" t="s">
        <v>6</v>
      </c>
      <c r="C987">
        <v>62</v>
      </c>
      <c r="D987" s="1" t="s">
        <v>11</v>
      </c>
      <c r="E987" s="1" t="s">
        <v>8</v>
      </c>
      <c r="F987" s="1" t="s">
        <v>9</v>
      </c>
    </row>
    <row r="988" spans="1:6">
      <c r="A988">
        <v>1987</v>
      </c>
      <c r="B988" s="1" t="s">
        <v>10</v>
      </c>
      <c r="C988">
        <v>19</v>
      </c>
      <c r="D988" s="1" t="s">
        <v>11</v>
      </c>
      <c r="E988" s="1" t="s">
        <v>12</v>
      </c>
      <c r="F988" s="1" t="s">
        <v>17</v>
      </c>
    </row>
    <row r="989" spans="1:6">
      <c r="A989">
        <v>1988</v>
      </c>
      <c r="B989" s="1" t="s">
        <v>6</v>
      </c>
      <c r="C989">
        <v>58</v>
      </c>
      <c r="D989" s="1" t="s">
        <v>11</v>
      </c>
      <c r="E989" s="1" t="s">
        <v>19</v>
      </c>
      <c r="F989" s="1" t="s">
        <v>9</v>
      </c>
    </row>
    <row r="990" spans="1:6">
      <c r="A990">
        <v>1989</v>
      </c>
      <c r="B990" s="1" t="s">
        <v>6</v>
      </c>
      <c r="C990">
        <v>38</v>
      </c>
      <c r="D990" s="1" t="s">
        <v>16</v>
      </c>
      <c r="E990" s="1" t="s">
        <v>12</v>
      </c>
      <c r="F990" s="1" t="s">
        <v>9</v>
      </c>
    </row>
    <row r="991" spans="1:6">
      <c r="A991">
        <v>1990</v>
      </c>
      <c r="B991" s="1" t="s">
        <v>10</v>
      </c>
      <c r="C991">
        <v>19</v>
      </c>
      <c r="D991" s="1" t="s">
        <v>16</v>
      </c>
      <c r="E991" s="1" t="s">
        <v>8</v>
      </c>
      <c r="F991" s="1" t="s">
        <v>14</v>
      </c>
    </row>
    <row r="992" spans="1:6">
      <c r="A992">
        <v>1991</v>
      </c>
      <c r="B992" s="1" t="s">
        <v>10</v>
      </c>
      <c r="C992">
        <v>44</v>
      </c>
      <c r="D992" s="1" t="s">
        <v>16</v>
      </c>
      <c r="E992" s="1" t="s">
        <v>12</v>
      </c>
      <c r="F992" s="1" t="s">
        <v>15</v>
      </c>
    </row>
    <row r="993" spans="1:6">
      <c r="A993">
        <v>1992</v>
      </c>
      <c r="B993" s="1" t="s">
        <v>10</v>
      </c>
      <c r="C993">
        <v>26</v>
      </c>
      <c r="D993" s="1" t="s">
        <v>16</v>
      </c>
      <c r="E993" s="1" t="s">
        <v>8</v>
      </c>
      <c r="F993" s="1" t="s">
        <v>17</v>
      </c>
    </row>
    <row r="994" spans="1:6">
      <c r="A994">
        <v>1993</v>
      </c>
      <c r="B994" s="1" t="s">
        <v>6</v>
      </c>
      <c r="C994">
        <v>18</v>
      </c>
      <c r="D994" s="1" t="s">
        <v>18</v>
      </c>
      <c r="E994" s="1" t="s">
        <v>8</v>
      </c>
      <c r="F994" s="1" t="s">
        <v>15</v>
      </c>
    </row>
    <row r="995" spans="1:6">
      <c r="A995">
        <v>1994</v>
      </c>
      <c r="B995" s="1" t="s">
        <v>10</v>
      </c>
      <c r="C995">
        <v>28</v>
      </c>
      <c r="D995" s="1" t="s">
        <v>11</v>
      </c>
      <c r="E995" s="1" t="s">
        <v>8</v>
      </c>
      <c r="F995" s="1" t="s">
        <v>9</v>
      </c>
    </row>
    <row r="996" spans="1:6">
      <c r="A996">
        <v>1995</v>
      </c>
      <c r="B996" s="1" t="s">
        <v>6</v>
      </c>
      <c r="C996">
        <v>20</v>
      </c>
      <c r="D996" s="1" t="s">
        <v>7</v>
      </c>
      <c r="E996" s="1" t="s">
        <v>8</v>
      </c>
      <c r="F996" s="1" t="s">
        <v>17</v>
      </c>
    </row>
    <row r="997" spans="1:6">
      <c r="A997">
        <v>1996</v>
      </c>
      <c r="B997" s="1" t="s">
        <v>6</v>
      </c>
      <c r="C997">
        <v>40</v>
      </c>
      <c r="D997" s="1" t="s">
        <v>7</v>
      </c>
      <c r="E997" s="1" t="s">
        <v>12</v>
      </c>
      <c r="F997" s="1" t="s">
        <v>15</v>
      </c>
    </row>
    <row r="998" spans="1:6">
      <c r="A998">
        <v>1997</v>
      </c>
      <c r="B998" s="1" t="s">
        <v>10</v>
      </c>
      <c r="C998">
        <v>43</v>
      </c>
      <c r="D998" s="1" t="s">
        <v>16</v>
      </c>
      <c r="E998" s="1" t="s">
        <v>12</v>
      </c>
      <c r="F998" s="1" t="s">
        <v>9</v>
      </c>
    </row>
    <row r="999" spans="1:6">
      <c r="A999">
        <v>1998</v>
      </c>
      <c r="B999" s="1" t="s">
        <v>6</v>
      </c>
      <c r="C999">
        <v>21</v>
      </c>
      <c r="D999" s="1" t="s">
        <v>18</v>
      </c>
      <c r="E999" s="1" t="s">
        <v>19</v>
      </c>
      <c r="F999" s="1" t="s">
        <v>14</v>
      </c>
    </row>
    <row r="1000" spans="1:6">
      <c r="A1000">
        <v>1999</v>
      </c>
      <c r="B1000" s="1" t="s">
        <v>10</v>
      </c>
      <c r="C1000">
        <v>35</v>
      </c>
      <c r="D1000" s="1" t="s">
        <v>11</v>
      </c>
      <c r="E1000" s="1" t="s">
        <v>12</v>
      </c>
      <c r="F1000" s="1" t="s">
        <v>15</v>
      </c>
    </row>
    <row r="1001" spans="1:6">
      <c r="A1001">
        <v>2000</v>
      </c>
      <c r="B1001" s="1" t="s">
        <v>6</v>
      </c>
      <c r="C1001">
        <v>23</v>
      </c>
      <c r="D1001" s="1" t="s">
        <v>7</v>
      </c>
      <c r="E1001" s="1" t="s">
        <v>12</v>
      </c>
      <c r="F10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8618-7142-445C-8A17-8E6647C95810}">
  <dimension ref="A1:N1001"/>
  <sheetViews>
    <sheetView workbookViewId="0">
      <selection activeCell="N16" sqref="N16:N18"/>
    </sheetView>
  </sheetViews>
  <sheetFormatPr defaultRowHeight="14.5"/>
  <cols>
    <col min="1" max="1" width="9.1796875" bestFit="1" customWidth="1"/>
    <col min="2" max="2" width="15.08984375" bestFit="1" customWidth="1"/>
    <col min="6" max="6" width="12.453125" customWidth="1"/>
    <col min="8" max="8" width="14.453125" bestFit="1" customWidth="1"/>
    <col min="9" max="9" width="15.6328125" bestFit="1" customWidth="1"/>
    <col min="10" max="10" width="8.1796875" bestFit="1" customWidth="1"/>
    <col min="11" max="11" width="7.7265625" bestFit="1" customWidth="1"/>
    <col min="12" max="12" width="10.36328125" bestFit="1" customWidth="1"/>
    <col min="13" max="13" width="7.26953125" bestFit="1" customWidth="1"/>
    <col min="14" max="14" width="8.81640625" customWidth="1"/>
    <col min="15" max="15" width="6" bestFit="1" customWidth="1"/>
    <col min="16" max="16" width="10.453125" bestFit="1" customWidth="1"/>
    <col min="17" max="17" width="10.36328125" bestFit="1" customWidth="1"/>
    <col min="18" max="18" width="7.26953125" bestFit="1" customWidth="1"/>
    <col min="19" max="19" width="4.54296875" bestFit="1" customWidth="1"/>
    <col min="20" max="20" width="6" bestFit="1" customWidth="1"/>
    <col min="21" max="21" width="10.453125" bestFit="1" customWidth="1"/>
    <col min="22" max="22" width="10.36328125" bestFit="1" customWidth="1"/>
    <col min="23" max="23" width="7.26953125" bestFit="1" customWidth="1"/>
    <col min="24" max="24" width="4.54296875" bestFit="1" customWidth="1"/>
    <col min="25" max="25" width="6" bestFit="1" customWidth="1"/>
    <col min="26" max="26" width="10.453125" bestFit="1" customWidth="1"/>
    <col min="27" max="27" width="10.36328125" bestFit="1" customWidth="1"/>
  </cols>
  <sheetData>
    <row r="1" spans="1:14">
      <c r="A1" t="s">
        <v>0</v>
      </c>
      <c r="B1" t="s">
        <v>21</v>
      </c>
      <c r="C1" t="s">
        <v>31</v>
      </c>
      <c r="D1" t="s">
        <v>32</v>
      </c>
      <c r="E1" t="s">
        <v>33</v>
      </c>
      <c r="F1" t="s">
        <v>38</v>
      </c>
    </row>
    <row r="2" spans="1:14">
      <c r="A2">
        <v>1001</v>
      </c>
      <c r="B2" s="2">
        <v>45343.927083333336</v>
      </c>
      <c r="C2" t="str">
        <f>VLOOKUP(A2, user_table!$A:$B, 2, FALSE)</f>
        <v>Male</v>
      </c>
      <c r="D2" t="str">
        <f>VLOOKUP(A2, user_table!$A:$F, 5, FALSE)</f>
        <v>Desktop</v>
      </c>
      <c r="E2" t="str">
        <f>VLOOKUP(A2, user_table!$A:$F, 6, FALSE)</f>
        <v>Organic</v>
      </c>
      <c r="F2" s="1" t="str">
        <f>IF(ISNUMBER(MATCH(A2, search_page!$A:$A, 0)), "Yes", "No")</f>
        <v>Yes</v>
      </c>
      <c r="H2" s="7" t="s">
        <v>34</v>
      </c>
      <c r="I2" t="s">
        <v>36</v>
      </c>
    </row>
    <row r="3" spans="1:14">
      <c r="A3">
        <v>1002</v>
      </c>
      <c r="B3" s="2">
        <v>45331.900694444441</v>
      </c>
      <c r="C3" t="str">
        <f>VLOOKUP(A3, user_table!$A:$B, 2, FALSE)</f>
        <v>Female</v>
      </c>
      <c r="D3" t="str">
        <f>VLOOKUP(A3, user_table!$A:$F, 5, FALSE)</f>
        <v>Mobile</v>
      </c>
      <c r="E3" t="str">
        <f>VLOOKUP(A3, user_table!$A:$F, 6, FALSE)</f>
        <v>Organic</v>
      </c>
      <c r="F3" s="1" t="str">
        <f>IF(ISNUMBER(MATCH(A3, search_page!$A:$A, 0)), "Yes", "No")</f>
        <v>No</v>
      </c>
      <c r="H3" s="8" t="s">
        <v>10</v>
      </c>
      <c r="I3" s="1">
        <v>475</v>
      </c>
    </row>
    <row r="4" spans="1:14">
      <c r="A4">
        <v>1003</v>
      </c>
      <c r="B4" s="2">
        <v>45339.649305555555</v>
      </c>
      <c r="C4" t="str">
        <f>VLOOKUP(A4, user_table!$A:$B, 2, FALSE)</f>
        <v>Female</v>
      </c>
      <c r="D4" t="str">
        <f>VLOOKUP(A4, user_table!$A:$F, 5, FALSE)</f>
        <v>Mobile</v>
      </c>
      <c r="E4" t="str">
        <f>VLOOKUP(A4, user_table!$A:$F, 6, FALSE)</f>
        <v>Social</v>
      </c>
      <c r="F4" s="1" t="str">
        <f>IF(ISNUMBER(MATCH(A4, search_page!$A:$A, 0)), "Yes", "No")</f>
        <v>Yes</v>
      </c>
      <c r="H4" s="8" t="s">
        <v>6</v>
      </c>
      <c r="I4" s="1">
        <v>525</v>
      </c>
    </row>
    <row r="5" spans="1:14">
      <c r="A5">
        <v>1004</v>
      </c>
      <c r="B5" s="2">
        <v>45359.477083333331</v>
      </c>
      <c r="C5" t="str">
        <f>VLOOKUP(A5, user_table!$A:$B, 2, FALSE)</f>
        <v>Female</v>
      </c>
      <c r="D5" t="str">
        <f>VLOOKUP(A5, user_table!$A:$F, 5, FALSE)</f>
        <v>Desktop</v>
      </c>
      <c r="E5" t="str">
        <f>VLOOKUP(A5, user_table!$A:$F, 6, FALSE)</f>
        <v>Paid</v>
      </c>
      <c r="F5" s="1" t="str">
        <f>IF(ISNUMBER(MATCH(A5, search_page!$A:$A, 0)), "Yes", "No")</f>
        <v>Yes</v>
      </c>
      <c r="H5" s="8" t="s">
        <v>35</v>
      </c>
      <c r="I5" s="1">
        <v>1000</v>
      </c>
    </row>
    <row r="6" spans="1:14">
      <c r="A6">
        <v>1005</v>
      </c>
      <c r="B6" s="2">
        <v>45362.431944444441</v>
      </c>
      <c r="C6" t="str">
        <f>VLOOKUP(A6, user_table!$A:$B, 2, FALSE)</f>
        <v>Male</v>
      </c>
      <c r="D6" t="str">
        <f>VLOOKUP(A6, user_table!$A:$F, 5, FALSE)</f>
        <v>Desktop</v>
      </c>
      <c r="E6" t="str">
        <f>VLOOKUP(A6, user_table!$A:$F, 6, FALSE)</f>
        <v>Email</v>
      </c>
      <c r="F6" s="1" t="str">
        <f>IF(ISNUMBER(MATCH(A6, search_page!$A:$A, 0)), "Yes", "No")</f>
        <v>No</v>
      </c>
    </row>
    <row r="7" spans="1:14">
      <c r="A7">
        <v>1006</v>
      </c>
      <c r="B7" s="2">
        <v>45381.595138888886</v>
      </c>
      <c r="C7" t="str">
        <f>VLOOKUP(A7, user_table!$A:$B, 2, FALSE)</f>
        <v>Male</v>
      </c>
      <c r="D7" t="str">
        <f>VLOOKUP(A7, user_table!$A:$F, 5, FALSE)</f>
        <v>Mobile</v>
      </c>
      <c r="E7" t="str">
        <f>VLOOKUP(A7, user_table!$A:$F, 6, FALSE)</f>
        <v>Organic</v>
      </c>
      <c r="F7" s="1" t="str">
        <f>IF(ISNUMBER(MATCH(A7, search_page!$A:$A, 0)), "Yes", "No")</f>
        <v>No</v>
      </c>
      <c r="H7" s="7" t="s">
        <v>36</v>
      </c>
      <c r="I7" s="7" t="s">
        <v>37</v>
      </c>
    </row>
    <row r="8" spans="1:14">
      <c r="A8">
        <v>1007</v>
      </c>
      <c r="B8" s="2">
        <v>45331.343055555553</v>
      </c>
      <c r="C8" t="str">
        <f>VLOOKUP(A8, user_table!$A:$B, 2, FALSE)</f>
        <v>Male</v>
      </c>
      <c r="D8" t="str">
        <f>VLOOKUP(A8, user_table!$A:$F, 5, FALSE)</f>
        <v>Mobile</v>
      </c>
      <c r="E8" t="str">
        <f>VLOOKUP(A8, user_table!$A:$F, 6, FALSE)</f>
        <v>Organic</v>
      </c>
      <c r="F8" s="1" t="str">
        <f>IF(ISNUMBER(MATCH(A8, search_page!$A:$A, 0)), "Yes", "No")</f>
        <v>Yes</v>
      </c>
      <c r="I8" t="s">
        <v>8</v>
      </c>
      <c r="J8" t="s">
        <v>12</v>
      </c>
      <c r="K8" t="s">
        <v>19</v>
      </c>
      <c r="L8" t="s">
        <v>35</v>
      </c>
    </row>
    <row r="9" spans="1:14">
      <c r="A9">
        <v>1008</v>
      </c>
      <c r="B9" s="2">
        <v>45307.966666666667</v>
      </c>
      <c r="C9" t="str">
        <f>VLOOKUP(A9, user_table!$A:$B, 2, FALSE)</f>
        <v>Female</v>
      </c>
      <c r="D9" t="str">
        <f>VLOOKUP(A9, user_table!$A:$F, 5, FALSE)</f>
        <v>Desktop</v>
      </c>
      <c r="E9" t="str">
        <f>VLOOKUP(A9, user_table!$A:$F, 6, FALSE)</f>
        <v>Paid</v>
      </c>
      <c r="F9" s="1" t="str">
        <f>IF(ISNUMBER(MATCH(A9, search_page!$A:$A, 0)), "Yes", "No")</f>
        <v>Yes</v>
      </c>
      <c r="H9" s="7" t="s">
        <v>34</v>
      </c>
    </row>
    <row r="10" spans="1:14">
      <c r="A10">
        <v>1009</v>
      </c>
      <c r="B10" s="2">
        <v>45332.157638888886</v>
      </c>
      <c r="C10" t="str">
        <f>VLOOKUP(A10, user_table!$A:$B, 2, FALSE)</f>
        <v>Female</v>
      </c>
      <c r="D10" t="str">
        <f>VLOOKUP(A10, user_table!$A:$F, 5, FALSE)</f>
        <v>Mobile</v>
      </c>
      <c r="E10" t="str">
        <f>VLOOKUP(A10, user_table!$A:$F, 6, FALSE)</f>
        <v>Organic</v>
      </c>
      <c r="F10" s="1" t="str">
        <f>IF(ISNUMBER(MATCH(A10, search_page!$A:$A, 0)), "Yes", "No")</f>
        <v>Yes</v>
      </c>
      <c r="H10" s="8" t="s">
        <v>10</v>
      </c>
      <c r="I10" s="1">
        <v>245</v>
      </c>
      <c r="J10" s="1">
        <v>172</v>
      </c>
      <c r="K10" s="1">
        <v>58</v>
      </c>
      <c r="L10" s="1">
        <v>475</v>
      </c>
    </row>
    <row r="11" spans="1:14">
      <c r="A11">
        <v>1010</v>
      </c>
      <c r="B11" s="2">
        <v>45360.924305555556</v>
      </c>
      <c r="C11" t="str">
        <f>VLOOKUP(A11, user_table!$A:$B, 2, FALSE)</f>
        <v>Female</v>
      </c>
      <c r="D11" t="str">
        <f>VLOOKUP(A11, user_table!$A:$F, 5, FALSE)</f>
        <v>Desktop</v>
      </c>
      <c r="E11" t="str">
        <f>VLOOKUP(A11, user_table!$A:$F, 6, FALSE)</f>
        <v>Organic</v>
      </c>
      <c r="F11" s="1" t="str">
        <f>IF(ISNUMBER(MATCH(A11, search_page!$A:$A, 0)), "Yes", "No")</f>
        <v>Yes</v>
      </c>
      <c r="H11" s="8" t="s">
        <v>6</v>
      </c>
      <c r="I11" s="1">
        <v>254</v>
      </c>
      <c r="J11" s="1">
        <v>190</v>
      </c>
      <c r="K11" s="1">
        <v>81</v>
      </c>
      <c r="L11" s="1">
        <v>525</v>
      </c>
    </row>
    <row r="12" spans="1:14">
      <c r="A12">
        <v>1011</v>
      </c>
      <c r="B12" s="2">
        <v>45316.282638888886</v>
      </c>
      <c r="C12" t="str">
        <f>VLOOKUP(A12, user_table!$A:$B, 2, FALSE)</f>
        <v>Male</v>
      </c>
      <c r="D12" t="str">
        <f>VLOOKUP(A12, user_table!$A:$F, 5, FALSE)</f>
        <v>Mobile</v>
      </c>
      <c r="E12" t="str">
        <f>VLOOKUP(A12, user_table!$A:$F, 6, FALSE)</f>
        <v>Social</v>
      </c>
      <c r="F12" s="1" t="str">
        <f>IF(ISNUMBER(MATCH(A12, search_page!$A:$A, 0)), "Yes", "No")</f>
        <v>No</v>
      </c>
      <c r="H12" s="8" t="s">
        <v>35</v>
      </c>
      <c r="I12" s="1">
        <v>499</v>
      </c>
      <c r="J12" s="1">
        <v>362</v>
      </c>
      <c r="K12" s="1">
        <v>139</v>
      </c>
      <c r="L12" s="1">
        <v>1000</v>
      </c>
    </row>
    <row r="13" spans="1:14">
      <c r="A13">
        <v>1012</v>
      </c>
      <c r="B13" s="2">
        <v>45353.365277777775</v>
      </c>
      <c r="C13" t="str">
        <f>VLOOKUP(A13, user_table!$A:$B, 2, FALSE)</f>
        <v>Female</v>
      </c>
      <c r="D13" t="str">
        <f>VLOOKUP(A13, user_table!$A:$F, 5, FALSE)</f>
        <v>Desktop</v>
      </c>
      <c r="E13" t="str">
        <f>VLOOKUP(A13, user_table!$A:$F, 6, FALSE)</f>
        <v>Organic</v>
      </c>
      <c r="F13" s="1" t="str">
        <f>IF(ISNUMBER(MATCH(A13, search_page!$A:$A, 0)), "Yes", "No")</f>
        <v>Yes</v>
      </c>
    </row>
    <row r="14" spans="1:14">
      <c r="A14">
        <v>1013</v>
      </c>
      <c r="B14" s="2">
        <v>45367.693055555559</v>
      </c>
      <c r="C14" t="str">
        <f>VLOOKUP(A14, user_table!$A:$B, 2, FALSE)</f>
        <v>Female</v>
      </c>
      <c r="D14" t="str">
        <f>VLOOKUP(A14, user_table!$A:$F, 5, FALSE)</f>
        <v>Tablet</v>
      </c>
      <c r="E14" t="str">
        <f>VLOOKUP(A14, user_table!$A:$F, 6, FALSE)</f>
        <v>Social</v>
      </c>
      <c r="F14" s="1" t="str">
        <f>IF(ISNUMBER(MATCH(A14, search_page!$A:$A, 0)), "Yes", "No")</f>
        <v>Yes</v>
      </c>
      <c r="H14" s="7" t="s">
        <v>36</v>
      </c>
      <c r="I14" s="7" t="s">
        <v>37</v>
      </c>
    </row>
    <row r="15" spans="1:14">
      <c r="A15">
        <v>1014</v>
      </c>
      <c r="B15" s="2">
        <v>45328.161805555559</v>
      </c>
      <c r="C15" t="str">
        <f>VLOOKUP(A15, user_table!$A:$B, 2, FALSE)</f>
        <v>Male</v>
      </c>
      <c r="D15" t="str">
        <f>VLOOKUP(A15, user_table!$A:$F, 5, FALSE)</f>
        <v>Desktop</v>
      </c>
      <c r="E15" t="str">
        <f>VLOOKUP(A15, user_table!$A:$F, 6, FALSE)</f>
        <v>Organic</v>
      </c>
      <c r="F15" s="1" t="str">
        <f>IF(ISNUMBER(MATCH(A15, search_page!$A:$A, 0)), "Yes", "No")</f>
        <v>No</v>
      </c>
      <c r="H15" s="7" t="s">
        <v>34</v>
      </c>
      <c r="I15" t="s">
        <v>20</v>
      </c>
      <c r="J15" t="s">
        <v>17</v>
      </c>
      <c r="K15" t="s">
        <v>9</v>
      </c>
      <c r="L15" t="s">
        <v>15</v>
      </c>
      <c r="M15" t="s">
        <v>14</v>
      </c>
      <c r="N15" t="s">
        <v>35</v>
      </c>
    </row>
    <row r="16" spans="1:14">
      <c r="A16">
        <v>1015</v>
      </c>
      <c r="B16" s="2">
        <v>45316.384722222225</v>
      </c>
      <c r="C16" t="str">
        <f>VLOOKUP(A16, user_table!$A:$B, 2, FALSE)</f>
        <v>Male</v>
      </c>
      <c r="D16" t="str">
        <f>VLOOKUP(A16, user_table!$A:$F, 5, FALSE)</f>
        <v>Desktop</v>
      </c>
      <c r="E16" t="str">
        <f>VLOOKUP(A16, user_table!$A:$F, 6, FALSE)</f>
        <v>Organic</v>
      </c>
      <c r="F16" s="1" t="str">
        <f>IF(ISNUMBER(MATCH(A16, search_page!$A:$A, 0)), "Yes", "No")</f>
        <v>Yes</v>
      </c>
      <c r="H16" s="8" t="s">
        <v>8</v>
      </c>
      <c r="I16" s="1">
        <v>41</v>
      </c>
      <c r="J16" s="1">
        <v>77</v>
      </c>
      <c r="K16" s="1">
        <v>149</v>
      </c>
      <c r="L16" s="1">
        <v>114</v>
      </c>
      <c r="M16" s="1">
        <v>118</v>
      </c>
      <c r="N16" s="1">
        <v>499</v>
      </c>
    </row>
    <row r="17" spans="1:14">
      <c r="A17">
        <v>1016</v>
      </c>
      <c r="B17" s="2">
        <v>45338.22152777778</v>
      </c>
      <c r="C17" t="str">
        <f>VLOOKUP(A17, user_table!$A:$B, 2, FALSE)</f>
        <v>Male</v>
      </c>
      <c r="D17" t="str">
        <f>VLOOKUP(A17, user_table!$A:$F, 5, FALSE)</f>
        <v>Desktop</v>
      </c>
      <c r="E17" t="str">
        <f>VLOOKUP(A17, user_table!$A:$F, 6, FALSE)</f>
        <v>Paid</v>
      </c>
      <c r="F17" s="1" t="str">
        <f>IF(ISNUMBER(MATCH(A17, search_page!$A:$A, 0)), "Yes", "No")</f>
        <v>Yes</v>
      </c>
      <c r="H17" s="8" t="s">
        <v>12</v>
      </c>
      <c r="I17" s="1">
        <v>33</v>
      </c>
      <c r="J17" s="1">
        <v>50</v>
      </c>
      <c r="K17" s="1">
        <v>115</v>
      </c>
      <c r="L17" s="1">
        <v>89</v>
      </c>
      <c r="M17" s="1">
        <v>75</v>
      </c>
      <c r="N17" s="1">
        <v>362</v>
      </c>
    </row>
    <row r="18" spans="1:14">
      <c r="A18">
        <v>1017</v>
      </c>
      <c r="B18" s="2">
        <v>45293.94027777778</v>
      </c>
      <c r="C18" t="str">
        <f>VLOOKUP(A18, user_table!$A:$B, 2, FALSE)</f>
        <v>Male</v>
      </c>
      <c r="D18" t="str">
        <f>VLOOKUP(A18, user_table!$A:$F, 5, FALSE)</f>
        <v>Desktop</v>
      </c>
      <c r="E18" t="str">
        <f>VLOOKUP(A18, user_table!$A:$F, 6, FALSE)</f>
        <v>Email</v>
      </c>
      <c r="F18" s="1" t="str">
        <f>IF(ISNUMBER(MATCH(A18, search_page!$A:$A, 0)), "Yes", "No")</f>
        <v>No</v>
      </c>
      <c r="H18" s="8" t="s">
        <v>19</v>
      </c>
      <c r="I18" s="1">
        <v>17</v>
      </c>
      <c r="J18" s="1">
        <v>17</v>
      </c>
      <c r="K18" s="1">
        <v>39</v>
      </c>
      <c r="L18" s="1">
        <v>41</v>
      </c>
      <c r="M18" s="1">
        <v>25</v>
      </c>
      <c r="N18" s="1">
        <v>139</v>
      </c>
    </row>
    <row r="19" spans="1:14">
      <c r="A19">
        <v>1018</v>
      </c>
      <c r="B19" s="2">
        <v>45308.334722222222</v>
      </c>
      <c r="C19" t="str">
        <f>VLOOKUP(A19, user_table!$A:$B, 2, FALSE)</f>
        <v>Female</v>
      </c>
      <c r="D19" t="str">
        <f>VLOOKUP(A19, user_table!$A:$F, 5, FALSE)</f>
        <v>Mobile</v>
      </c>
      <c r="E19" t="str">
        <f>VLOOKUP(A19, user_table!$A:$F, 6, FALSE)</f>
        <v>Paid</v>
      </c>
      <c r="F19" s="1" t="str">
        <f>IF(ISNUMBER(MATCH(A19, search_page!$A:$A, 0)), "Yes", "No")</f>
        <v>No</v>
      </c>
      <c r="H19" s="8" t="s">
        <v>35</v>
      </c>
      <c r="I19" s="1">
        <v>91</v>
      </c>
      <c r="J19" s="1">
        <v>144</v>
      </c>
      <c r="K19" s="1">
        <v>303</v>
      </c>
      <c r="L19" s="1">
        <v>244</v>
      </c>
      <c r="M19" s="1">
        <v>218</v>
      </c>
      <c r="N19" s="1">
        <v>1000</v>
      </c>
    </row>
    <row r="20" spans="1:14">
      <c r="A20">
        <v>1019</v>
      </c>
      <c r="B20" s="2">
        <v>45298.720833333333</v>
      </c>
      <c r="C20" t="str">
        <f>VLOOKUP(A20, user_table!$A:$B, 2, FALSE)</f>
        <v>Male</v>
      </c>
      <c r="D20" t="str">
        <f>VLOOKUP(A20, user_table!$A:$F, 5, FALSE)</f>
        <v>Desktop</v>
      </c>
      <c r="E20" t="str">
        <f>VLOOKUP(A20, user_table!$A:$F, 6, FALSE)</f>
        <v>Email</v>
      </c>
      <c r="F20" s="1" t="str">
        <f>IF(ISNUMBER(MATCH(A20, search_page!$A:$A, 0)), "Yes", "No")</f>
        <v>No</v>
      </c>
    </row>
    <row r="21" spans="1:14">
      <c r="A21">
        <v>1020</v>
      </c>
      <c r="B21" s="2">
        <v>45381.194444444445</v>
      </c>
      <c r="C21" t="str">
        <f>VLOOKUP(A21, user_table!$A:$B, 2, FALSE)</f>
        <v>Male</v>
      </c>
      <c r="D21" t="str">
        <f>VLOOKUP(A21, user_table!$A:$F, 5, FALSE)</f>
        <v>Mobile</v>
      </c>
      <c r="E21" t="str">
        <f>VLOOKUP(A21, user_table!$A:$F, 6, FALSE)</f>
        <v>Organic</v>
      </c>
      <c r="F21" s="1" t="str">
        <f>IF(ISNUMBER(MATCH(A21, search_page!$A:$A, 0)), "Yes", "No")</f>
        <v>Yes</v>
      </c>
    </row>
    <row r="22" spans="1:14">
      <c r="A22">
        <v>1021</v>
      </c>
      <c r="B22" s="2">
        <v>45354.163194444445</v>
      </c>
      <c r="C22" t="str">
        <f>VLOOKUP(A22, user_table!$A:$B, 2, FALSE)</f>
        <v>Female</v>
      </c>
      <c r="D22" t="str">
        <f>VLOOKUP(A22, user_table!$A:$F, 5, FALSE)</f>
        <v>Desktop</v>
      </c>
      <c r="E22" t="str">
        <f>VLOOKUP(A22, user_table!$A:$F, 6, FALSE)</f>
        <v>Email</v>
      </c>
      <c r="F22" s="1" t="str">
        <f>IF(ISNUMBER(MATCH(A22, search_page!$A:$A, 0)), "Yes", "No")</f>
        <v>No</v>
      </c>
    </row>
    <row r="23" spans="1:14">
      <c r="A23">
        <v>1022</v>
      </c>
      <c r="B23" s="2">
        <v>45293.762499999997</v>
      </c>
      <c r="C23" t="str">
        <f>VLOOKUP(A23, user_table!$A:$B, 2, FALSE)</f>
        <v>Male</v>
      </c>
      <c r="D23" t="str">
        <f>VLOOKUP(A23, user_table!$A:$F, 5, FALSE)</f>
        <v>Desktop</v>
      </c>
      <c r="E23" t="str">
        <f>VLOOKUP(A23, user_table!$A:$F, 6, FALSE)</f>
        <v>Organic</v>
      </c>
      <c r="F23" s="1" t="str">
        <f>IF(ISNUMBER(MATCH(A23, search_page!$A:$A, 0)), "Yes", "No")</f>
        <v>Yes</v>
      </c>
    </row>
    <row r="24" spans="1:14">
      <c r="A24">
        <v>1023</v>
      </c>
      <c r="B24" s="2">
        <v>45352.644444444442</v>
      </c>
      <c r="C24" t="str">
        <f>VLOOKUP(A24, user_table!$A:$B, 2, FALSE)</f>
        <v>Male</v>
      </c>
      <c r="D24" t="str">
        <f>VLOOKUP(A24, user_table!$A:$F, 5, FALSE)</f>
        <v>Desktop</v>
      </c>
      <c r="E24" t="str">
        <f>VLOOKUP(A24, user_table!$A:$F, 6, FALSE)</f>
        <v>Social</v>
      </c>
      <c r="F24" s="1" t="str">
        <f>IF(ISNUMBER(MATCH(A24, search_page!$A:$A, 0)), "Yes", "No")</f>
        <v>Yes</v>
      </c>
    </row>
    <row r="25" spans="1:14">
      <c r="A25">
        <v>1024</v>
      </c>
      <c r="B25" s="2">
        <v>45335.210416666669</v>
      </c>
      <c r="C25" t="str">
        <f>VLOOKUP(A25, user_table!$A:$B, 2, FALSE)</f>
        <v>Male</v>
      </c>
      <c r="D25" t="str">
        <f>VLOOKUP(A25, user_table!$A:$F, 5, FALSE)</f>
        <v>Desktop</v>
      </c>
      <c r="E25" t="str">
        <f>VLOOKUP(A25, user_table!$A:$F, 6, FALSE)</f>
        <v>Social</v>
      </c>
      <c r="F25" s="1" t="str">
        <f>IF(ISNUMBER(MATCH(A25, search_page!$A:$A, 0)), "Yes", "No")</f>
        <v>No</v>
      </c>
    </row>
    <row r="26" spans="1:14">
      <c r="A26">
        <v>1025</v>
      </c>
      <c r="B26" s="2">
        <v>45324.629861111112</v>
      </c>
      <c r="C26" t="str">
        <f>VLOOKUP(A26, user_table!$A:$B, 2, FALSE)</f>
        <v>Male</v>
      </c>
      <c r="D26" t="str">
        <f>VLOOKUP(A26, user_table!$A:$F, 5, FALSE)</f>
        <v>Desktop</v>
      </c>
      <c r="E26" t="str">
        <f>VLOOKUP(A26, user_table!$A:$F, 6, FALSE)</f>
        <v>Direct</v>
      </c>
      <c r="F26" s="1" t="str">
        <f>IF(ISNUMBER(MATCH(A26, search_page!$A:$A, 0)), "Yes", "No")</f>
        <v>No</v>
      </c>
    </row>
    <row r="27" spans="1:14">
      <c r="A27">
        <v>1026</v>
      </c>
      <c r="B27" s="2">
        <v>45300.521527777775</v>
      </c>
      <c r="C27" t="str">
        <f>VLOOKUP(A27, user_table!$A:$B, 2, FALSE)</f>
        <v>Female</v>
      </c>
      <c r="D27" t="str">
        <f>VLOOKUP(A27, user_table!$A:$F, 5, FALSE)</f>
        <v>Desktop</v>
      </c>
      <c r="E27" t="str">
        <f>VLOOKUP(A27, user_table!$A:$F, 6, FALSE)</f>
        <v>Paid</v>
      </c>
      <c r="F27" s="1" t="str">
        <f>IF(ISNUMBER(MATCH(A27, search_page!$A:$A, 0)), "Yes", "No")</f>
        <v>Yes</v>
      </c>
    </row>
    <row r="28" spans="1:14">
      <c r="A28">
        <v>1027</v>
      </c>
      <c r="B28" s="2">
        <v>45301.777777777781</v>
      </c>
      <c r="C28" t="str">
        <f>VLOOKUP(A28, user_table!$A:$B, 2, FALSE)</f>
        <v>Male</v>
      </c>
      <c r="D28" t="str">
        <f>VLOOKUP(A28, user_table!$A:$F, 5, FALSE)</f>
        <v>Desktop</v>
      </c>
      <c r="E28" t="str">
        <f>VLOOKUP(A28, user_table!$A:$F, 6, FALSE)</f>
        <v>Organic</v>
      </c>
      <c r="F28" s="1" t="str">
        <f>IF(ISNUMBER(MATCH(A28, search_page!$A:$A, 0)), "Yes", "No")</f>
        <v>No</v>
      </c>
    </row>
    <row r="29" spans="1:14">
      <c r="A29">
        <v>1028</v>
      </c>
      <c r="B29" s="2">
        <v>45379.04791666667</v>
      </c>
      <c r="C29" t="str">
        <f>VLOOKUP(A29, user_table!$A:$B, 2, FALSE)</f>
        <v>Male</v>
      </c>
      <c r="D29" t="str">
        <f>VLOOKUP(A29, user_table!$A:$F, 5, FALSE)</f>
        <v>Desktop</v>
      </c>
      <c r="E29" t="str">
        <f>VLOOKUP(A29, user_table!$A:$F, 6, FALSE)</f>
        <v>Organic</v>
      </c>
      <c r="F29" s="1" t="str">
        <f>IF(ISNUMBER(MATCH(A29, search_page!$A:$A, 0)), "Yes", "No")</f>
        <v>Yes</v>
      </c>
    </row>
    <row r="30" spans="1:14">
      <c r="A30">
        <v>1029</v>
      </c>
      <c r="B30" s="2">
        <v>45311.763194444444</v>
      </c>
      <c r="C30" t="str">
        <f>VLOOKUP(A30, user_table!$A:$B, 2, FALSE)</f>
        <v>Female</v>
      </c>
      <c r="D30" t="str">
        <f>VLOOKUP(A30, user_table!$A:$F, 5, FALSE)</f>
        <v>Mobile</v>
      </c>
      <c r="E30" t="str">
        <f>VLOOKUP(A30, user_table!$A:$F, 6, FALSE)</f>
        <v>Email</v>
      </c>
      <c r="F30" s="1" t="str">
        <f>IF(ISNUMBER(MATCH(A30, search_page!$A:$A, 0)), "Yes", "No")</f>
        <v>No</v>
      </c>
    </row>
    <row r="31" spans="1:14">
      <c r="A31">
        <v>1030</v>
      </c>
      <c r="B31" s="2">
        <v>45302.296527777777</v>
      </c>
      <c r="C31" t="str">
        <f>VLOOKUP(A31, user_table!$A:$B, 2, FALSE)</f>
        <v>Male</v>
      </c>
      <c r="D31" t="str">
        <f>VLOOKUP(A31, user_table!$A:$F, 5, FALSE)</f>
        <v>Mobile</v>
      </c>
      <c r="E31" t="str">
        <f>VLOOKUP(A31, user_table!$A:$F, 6, FALSE)</f>
        <v>Paid</v>
      </c>
      <c r="F31" s="1" t="str">
        <f>IF(ISNUMBER(MATCH(A31, search_page!$A:$A, 0)), "Yes", "No")</f>
        <v>No</v>
      </c>
    </row>
    <row r="32" spans="1:14">
      <c r="A32">
        <v>1031</v>
      </c>
      <c r="B32" s="2">
        <v>45363.568055555559</v>
      </c>
      <c r="C32" t="str">
        <f>VLOOKUP(A32, user_table!$A:$B, 2, FALSE)</f>
        <v>Female</v>
      </c>
      <c r="D32" t="str">
        <f>VLOOKUP(A32, user_table!$A:$F, 5, FALSE)</f>
        <v>Desktop</v>
      </c>
      <c r="E32" t="str">
        <f>VLOOKUP(A32, user_table!$A:$F, 6, FALSE)</f>
        <v>Email</v>
      </c>
      <c r="F32" s="1" t="str">
        <f>IF(ISNUMBER(MATCH(A32, search_page!$A:$A, 0)), "Yes", "No")</f>
        <v>Yes</v>
      </c>
    </row>
    <row r="33" spans="1:6">
      <c r="A33">
        <v>1032</v>
      </c>
      <c r="B33" s="2">
        <v>45368.801388888889</v>
      </c>
      <c r="C33" t="str">
        <f>VLOOKUP(A33, user_table!$A:$B, 2, FALSE)</f>
        <v>Male</v>
      </c>
      <c r="D33" t="str">
        <f>VLOOKUP(A33, user_table!$A:$F, 5, FALSE)</f>
        <v>Desktop</v>
      </c>
      <c r="E33" t="str">
        <f>VLOOKUP(A33, user_table!$A:$F, 6, FALSE)</f>
        <v>Organic</v>
      </c>
      <c r="F33" s="1" t="str">
        <f>IF(ISNUMBER(MATCH(A33, search_page!$A:$A, 0)), "Yes", "No")</f>
        <v>No</v>
      </c>
    </row>
    <row r="34" spans="1:6">
      <c r="A34">
        <v>1033</v>
      </c>
      <c r="B34" s="2">
        <v>45358.519444444442</v>
      </c>
      <c r="C34" t="str">
        <f>VLOOKUP(A34, user_table!$A:$B, 2, FALSE)</f>
        <v>Male</v>
      </c>
      <c r="D34" t="str">
        <f>VLOOKUP(A34, user_table!$A:$F, 5, FALSE)</f>
        <v>Tablet</v>
      </c>
      <c r="E34" t="str">
        <f>VLOOKUP(A34, user_table!$A:$F, 6, FALSE)</f>
        <v>Paid</v>
      </c>
      <c r="F34" s="1" t="str">
        <f>IF(ISNUMBER(MATCH(A34, search_page!$A:$A, 0)), "Yes", "No")</f>
        <v>Yes</v>
      </c>
    </row>
    <row r="35" spans="1:6">
      <c r="A35">
        <v>1034</v>
      </c>
      <c r="B35" s="2">
        <v>45348.413194444445</v>
      </c>
      <c r="C35" t="str">
        <f>VLOOKUP(A35, user_table!$A:$B, 2, FALSE)</f>
        <v>Female</v>
      </c>
      <c r="D35" t="str">
        <f>VLOOKUP(A35, user_table!$A:$F, 5, FALSE)</f>
        <v>Mobile</v>
      </c>
      <c r="E35" t="str">
        <f>VLOOKUP(A35, user_table!$A:$F, 6, FALSE)</f>
        <v>Organic</v>
      </c>
      <c r="F35" s="1" t="str">
        <f>IF(ISNUMBER(MATCH(A35, search_page!$A:$A, 0)), "Yes", "No")</f>
        <v>No</v>
      </c>
    </row>
    <row r="36" spans="1:6">
      <c r="A36">
        <v>1035</v>
      </c>
      <c r="B36" s="2">
        <v>45367.554861111108</v>
      </c>
      <c r="C36" t="str">
        <f>VLOOKUP(A36, user_table!$A:$B, 2, FALSE)</f>
        <v>Female</v>
      </c>
      <c r="D36" t="str">
        <f>VLOOKUP(A36, user_table!$A:$F, 5, FALSE)</f>
        <v>Mobile</v>
      </c>
      <c r="E36" t="str">
        <f>VLOOKUP(A36, user_table!$A:$F, 6, FALSE)</f>
        <v>Direct</v>
      </c>
      <c r="F36" s="1" t="str">
        <f>IF(ISNUMBER(MATCH(A36, search_page!$A:$A, 0)), "Yes", "No")</f>
        <v>No</v>
      </c>
    </row>
    <row r="37" spans="1:6">
      <c r="A37">
        <v>1036</v>
      </c>
      <c r="B37" s="2">
        <v>45364.793749999997</v>
      </c>
      <c r="C37" t="str">
        <f>VLOOKUP(A37, user_table!$A:$B, 2, FALSE)</f>
        <v>Female</v>
      </c>
      <c r="D37" t="str">
        <f>VLOOKUP(A37, user_table!$A:$F, 5, FALSE)</f>
        <v>Desktop</v>
      </c>
      <c r="E37" t="str">
        <f>VLOOKUP(A37, user_table!$A:$F, 6, FALSE)</f>
        <v>Social</v>
      </c>
      <c r="F37" s="1" t="str">
        <f>IF(ISNUMBER(MATCH(A37, search_page!$A:$A, 0)), "Yes", "No")</f>
        <v>Yes</v>
      </c>
    </row>
    <row r="38" spans="1:6">
      <c r="A38">
        <v>1037</v>
      </c>
      <c r="B38" s="2">
        <v>45370.962500000001</v>
      </c>
      <c r="C38" t="str">
        <f>VLOOKUP(A38, user_table!$A:$B, 2, FALSE)</f>
        <v>Male</v>
      </c>
      <c r="D38" t="str">
        <f>VLOOKUP(A38, user_table!$A:$F, 5, FALSE)</f>
        <v>Mobile</v>
      </c>
      <c r="E38" t="str">
        <f>VLOOKUP(A38, user_table!$A:$F, 6, FALSE)</f>
        <v>Direct</v>
      </c>
      <c r="F38" s="1" t="str">
        <f>IF(ISNUMBER(MATCH(A38, search_page!$A:$A, 0)), "Yes", "No")</f>
        <v>Yes</v>
      </c>
    </row>
    <row r="39" spans="1:6">
      <c r="A39">
        <v>1038</v>
      </c>
      <c r="B39" s="2">
        <v>45318.842361111114</v>
      </c>
      <c r="C39" t="str">
        <f>VLOOKUP(A39, user_table!$A:$B, 2, FALSE)</f>
        <v>Male</v>
      </c>
      <c r="D39" t="str">
        <f>VLOOKUP(A39, user_table!$A:$F, 5, FALSE)</f>
        <v>Mobile</v>
      </c>
      <c r="E39" t="str">
        <f>VLOOKUP(A39, user_table!$A:$F, 6, FALSE)</f>
        <v>Organic</v>
      </c>
      <c r="F39" s="1" t="str">
        <f>IF(ISNUMBER(MATCH(A39, search_page!$A:$A, 0)), "Yes", "No")</f>
        <v>No</v>
      </c>
    </row>
    <row r="40" spans="1:6">
      <c r="A40">
        <v>1039</v>
      </c>
      <c r="B40" s="2">
        <v>45325.878472222219</v>
      </c>
      <c r="C40" t="str">
        <f>VLOOKUP(A40, user_table!$A:$B, 2, FALSE)</f>
        <v>Female</v>
      </c>
      <c r="D40" t="str">
        <f>VLOOKUP(A40, user_table!$A:$F, 5, FALSE)</f>
        <v>Mobile</v>
      </c>
      <c r="E40" t="str">
        <f>VLOOKUP(A40, user_table!$A:$F, 6, FALSE)</f>
        <v>Social</v>
      </c>
      <c r="F40" s="1" t="str">
        <f>IF(ISNUMBER(MATCH(A40, search_page!$A:$A, 0)), "Yes", "No")</f>
        <v>No</v>
      </c>
    </row>
    <row r="41" spans="1:6">
      <c r="A41">
        <v>1040</v>
      </c>
      <c r="B41" s="2">
        <v>45312.299305555556</v>
      </c>
      <c r="C41" t="str">
        <f>VLOOKUP(A41, user_table!$A:$B, 2, FALSE)</f>
        <v>Male</v>
      </c>
      <c r="D41" t="str">
        <f>VLOOKUP(A41, user_table!$A:$F, 5, FALSE)</f>
        <v>Tablet</v>
      </c>
      <c r="E41" t="str">
        <f>VLOOKUP(A41, user_table!$A:$F, 6, FALSE)</f>
        <v>Social</v>
      </c>
      <c r="F41" s="1" t="str">
        <f>IF(ISNUMBER(MATCH(A41, search_page!$A:$A, 0)), "Yes", "No")</f>
        <v>Yes</v>
      </c>
    </row>
    <row r="42" spans="1:6">
      <c r="A42">
        <v>1041</v>
      </c>
      <c r="B42" s="2">
        <v>45362.090277777781</v>
      </c>
      <c r="C42" t="str">
        <f>VLOOKUP(A42, user_table!$A:$B, 2, FALSE)</f>
        <v>Male</v>
      </c>
      <c r="D42" t="str">
        <f>VLOOKUP(A42, user_table!$A:$F, 5, FALSE)</f>
        <v>Desktop</v>
      </c>
      <c r="E42" t="str">
        <f>VLOOKUP(A42, user_table!$A:$F, 6, FALSE)</f>
        <v>Paid</v>
      </c>
      <c r="F42" s="1" t="str">
        <f>IF(ISNUMBER(MATCH(A42, search_page!$A:$A, 0)), "Yes", "No")</f>
        <v>Yes</v>
      </c>
    </row>
    <row r="43" spans="1:6">
      <c r="A43">
        <v>1042</v>
      </c>
      <c r="B43" s="2">
        <v>45292.561111111114</v>
      </c>
      <c r="C43" t="str">
        <f>VLOOKUP(A43, user_table!$A:$B, 2, FALSE)</f>
        <v>Male</v>
      </c>
      <c r="D43" t="str">
        <f>VLOOKUP(A43, user_table!$A:$F, 5, FALSE)</f>
        <v>Desktop</v>
      </c>
      <c r="E43" t="str">
        <f>VLOOKUP(A43, user_table!$A:$F, 6, FALSE)</f>
        <v>Email</v>
      </c>
      <c r="F43" s="1" t="str">
        <f>IF(ISNUMBER(MATCH(A43, search_page!$A:$A, 0)), "Yes", "No")</f>
        <v>No</v>
      </c>
    </row>
    <row r="44" spans="1:6">
      <c r="A44">
        <v>1043</v>
      </c>
      <c r="B44" s="2">
        <v>45380.8125</v>
      </c>
      <c r="C44" t="str">
        <f>VLOOKUP(A44, user_table!$A:$B, 2, FALSE)</f>
        <v>Male</v>
      </c>
      <c r="D44" t="str">
        <f>VLOOKUP(A44, user_table!$A:$F, 5, FALSE)</f>
        <v>Mobile</v>
      </c>
      <c r="E44" t="str">
        <f>VLOOKUP(A44, user_table!$A:$F, 6, FALSE)</f>
        <v>Direct</v>
      </c>
      <c r="F44" s="1" t="str">
        <f>IF(ISNUMBER(MATCH(A44, search_page!$A:$A, 0)), "Yes", "No")</f>
        <v>Yes</v>
      </c>
    </row>
    <row r="45" spans="1:6">
      <c r="A45">
        <v>1044</v>
      </c>
      <c r="B45" s="2">
        <v>45329.051388888889</v>
      </c>
      <c r="C45" t="str">
        <f>VLOOKUP(A45, user_table!$A:$B, 2, FALSE)</f>
        <v>Female</v>
      </c>
      <c r="D45" t="str">
        <f>VLOOKUP(A45, user_table!$A:$F, 5, FALSE)</f>
        <v>Mobile</v>
      </c>
      <c r="E45" t="str">
        <f>VLOOKUP(A45, user_table!$A:$F, 6, FALSE)</f>
        <v>Email</v>
      </c>
      <c r="F45" s="1" t="str">
        <f>IF(ISNUMBER(MATCH(A45, search_page!$A:$A, 0)), "Yes", "No")</f>
        <v>No</v>
      </c>
    </row>
    <row r="46" spans="1:6">
      <c r="A46">
        <v>1045</v>
      </c>
      <c r="B46" s="2">
        <v>45328.929166666669</v>
      </c>
      <c r="C46" t="str">
        <f>VLOOKUP(A46, user_table!$A:$B, 2, FALSE)</f>
        <v>Male</v>
      </c>
      <c r="D46" t="str">
        <f>VLOOKUP(A46, user_table!$A:$F, 5, FALSE)</f>
        <v>Desktop</v>
      </c>
      <c r="E46" t="str">
        <f>VLOOKUP(A46, user_table!$A:$F, 6, FALSE)</f>
        <v>Social</v>
      </c>
      <c r="F46" s="1" t="str">
        <f>IF(ISNUMBER(MATCH(A46, search_page!$A:$A, 0)), "Yes", "No")</f>
        <v>Yes</v>
      </c>
    </row>
    <row r="47" spans="1:6">
      <c r="A47">
        <v>1046</v>
      </c>
      <c r="B47" s="2">
        <v>45381.586111111108</v>
      </c>
      <c r="C47" t="str">
        <f>VLOOKUP(A47, user_table!$A:$B, 2, FALSE)</f>
        <v>Female</v>
      </c>
      <c r="D47" t="str">
        <f>VLOOKUP(A47, user_table!$A:$F, 5, FALSE)</f>
        <v>Desktop</v>
      </c>
      <c r="E47" t="str">
        <f>VLOOKUP(A47, user_table!$A:$F, 6, FALSE)</f>
        <v>Organic</v>
      </c>
      <c r="F47" s="1" t="str">
        <f>IF(ISNUMBER(MATCH(A47, search_page!$A:$A, 0)), "Yes", "No")</f>
        <v>Yes</v>
      </c>
    </row>
    <row r="48" spans="1:6">
      <c r="A48">
        <v>1047</v>
      </c>
      <c r="B48" s="2">
        <v>45379.332638888889</v>
      </c>
      <c r="C48" t="str">
        <f>VLOOKUP(A48, user_table!$A:$B, 2, FALSE)</f>
        <v>Male</v>
      </c>
      <c r="D48" t="str">
        <f>VLOOKUP(A48, user_table!$A:$F, 5, FALSE)</f>
        <v>Desktop</v>
      </c>
      <c r="E48" t="str">
        <f>VLOOKUP(A48, user_table!$A:$F, 6, FALSE)</f>
        <v>Organic</v>
      </c>
      <c r="F48" s="1" t="str">
        <f>IF(ISNUMBER(MATCH(A48, search_page!$A:$A, 0)), "Yes", "No")</f>
        <v>Yes</v>
      </c>
    </row>
    <row r="49" spans="1:6">
      <c r="A49">
        <v>1048</v>
      </c>
      <c r="B49" s="2">
        <v>45325.859027777777</v>
      </c>
      <c r="C49" t="str">
        <f>VLOOKUP(A49, user_table!$A:$B, 2, FALSE)</f>
        <v>Female</v>
      </c>
      <c r="D49" t="str">
        <f>VLOOKUP(A49, user_table!$A:$F, 5, FALSE)</f>
        <v>Desktop</v>
      </c>
      <c r="E49" t="str">
        <f>VLOOKUP(A49, user_table!$A:$F, 6, FALSE)</f>
        <v>Direct</v>
      </c>
      <c r="F49" s="1" t="str">
        <f>IF(ISNUMBER(MATCH(A49, search_page!$A:$A, 0)), "Yes", "No")</f>
        <v>No</v>
      </c>
    </row>
    <row r="50" spans="1:6">
      <c r="A50">
        <v>1049</v>
      </c>
      <c r="B50" s="2">
        <v>45376.268750000003</v>
      </c>
      <c r="C50" t="str">
        <f>VLOOKUP(A50, user_table!$A:$B, 2, FALSE)</f>
        <v>Female</v>
      </c>
      <c r="D50" t="str">
        <f>VLOOKUP(A50, user_table!$A:$F, 5, FALSE)</f>
        <v>Mobile</v>
      </c>
      <c r="E50" t="str">
        <f>VLOOKUP(A50, user_table!$A:$F, 6, FALSE)</f>
        <v>Organic</v>
      </c>
      <c r="F50" s="1" t="str">
        <f>IF(ISNUMBER(MATCH(A50, search_page!$A:$A, 0)), "Yes", "No")</f>
        <v>Yes</v>
      </c>
    </row>
    <row r="51" spans="1:6">
      <c r="A51">
        <v>1050</v>
      </c>
      <c r="B51" s="2">
        <v>45306.718055555553</v>
      </c>
      <c r="C51" t="str">
        <f>VLOOKUP(A51, user_table!$A:$B, 2, FALSE)</f>
        <v>Male</v>
      </c>
      <c r="D51" t="str">
        <f>VLOOKUP(A51, user_table!$A:$F, 5, FALSE)</f>
        <v>Mobile</v>
      </c>
      <c r="E51" t="str">
        <f>VLOOKUP(A51, user_table!$A:$F, 6, FALSE)</f>
        <v>Social</v>
      </c>
      <c r="F51" s="1" t="str">
        <f>IF(ISNUMBER(MATCH(A51, search_page!$A:$A, 0)), "Yes", "No")</f>
        <v>No</v>
      </c>
    </row>
    <row r="52" spans="1:6">
      <c r="A52">
        <v>1051</v>
      </c>
      <c r="B52" s="2">
        <v>45374.206944444442</v>
      </c>
      <c r="C52" t="str">
        <f>VLOOKUP(A52, user_table!$A:$B, 2, FALSE)</f>
        <v>Female</v>
      </c>
      <c r="D52" t="str">
        <f>VLOOKUP(A52, user_table!$A:$F, 5, FALSE)</f>
        <v>Desktop</v>
      </c>
      <c r="E52" t="str">
        <f>VLOOKUP(A52, user_table!$A:$F, 6, FALSE)</f>
        <v>Social</v>
      </c>
      <c r="F52" s="1" t="str">
        <f>IF(ISNUMBER(MATCH(A52, search_page!$A:$A, 0)), "Yes", "No")</f>
        <v>No</v>
      </c>
    </row>
    <row r="53" spans="1:6">
      <c r="A53">
        <v>1052</v>
      </c>
      <c r="B53" s="2">
        <v>45326.169444444444</v>
      </c>
      <c r="C53" t="str">
        <f>VLOOKUP(A53, user_table!$A:$B, 2, FALSE)</f>
        <v>Female</v>
      </c>
      <c r="D53" t="str">
        <f>VLOOKUP(A53, user_table!$A:$F, 5, FALSE)</f>
        <v>Desktop</v>
      </c>
      <c r="E53" t="str">
        <f>VLOOKUP(A53, user_table!$A:$F, 6, FALSE)</f>
        <v>Social</v>
      </c>
      <c r="F53" s="1" t="str">
        <f>IF(ISNUMBER(MATCH(A53, search_page!$A:$A, 0)), "Yes", "No")</f>
        <v>Yes</v>
      </c>
    </row>
    <row r="54" spans="1:6">
      <c r="A54">
        <v>1053</v>
      </c>
      <c r="B54" s="2">
        <v>45299.243055555555</v>
      </c>
      <c r="C54" t="str">
        <f>VLOOKUP(A54, user_table!$A:$B, 2, FALSE)</f>
        <v>Female</v>
      </c>
      <c r="D54" t="str">
        <f>VLOOKUP(A54, user_table!$A:$F, 5, FALSE)</f>
        <v>Desktop</v>
      </c>
      <c r="E54" t="str">
        <f>VLOOKUP(A54, user_table!$A:$F, 6, FALSE)</f>
        <v>Direct</v>
      </c>
      <c r="F54" s="1" t="str">
        <f>IF(ISNUMBER(MATCH(A54, search_page!$A:$A, 0)), "Yes", "No")</f>
        <v>Yes</v>
      </c>
    </row>
    <row r="55" spans="1:6">
      <c r="A55">
        <v>1054</v>
      </c>
      <c r="B55" s="2">
        <v>45331.824305555558</v>
      </c>
      <c r="C55" t="str">
        <f>VLOOKUP(A55, user_table!$A:$B, 2, FALSE)</f>
        <v>Female</v>
      </c>
      <c r="D55" t="str">
        <f>VLOOKUP(A55, user_table!$A:$F, 5, FALSE)</f>
        <v>Desktop</v>
      </c>
      <c r="E55" t="str">
        <f>VLOOKUP(A55, user_table!$A:$F, 6, FALSE)</f>
        <v>Paid</v>
      </c>
      <c r="F55" s="1" t="str">
        <f>IF(ISNUMBER(MATCH(A55, search_page!$A:$A, 0)), "Yes", "No")</f>
        <v>No</v>
      </c>
    </row>
    <row r="56" spans="1:6">
      <c r="A56">
        <v>1055</v>
      </c>
      <c r="B56" s="2">
        <v>45364.394444444442</v>
      </c>
      <c r="C56" t="str">
        <f>VLOOKUP(A56, user_table!$A:$B, 2, FALSE)</f>
        <v>Female</v>
      </c>
      <c r="D56" t="str">
        <f>VLOOKUP(A56, user_table!$A:$F, 5, FALSE)</f>
        <v>Mobile</v>
      </c>
      <c r="E56" t="str">
        <f>VLOOKUP(A56, user_table!$A:$F, 6, FALSE)</f>
        <v>Paid</v>
      </c>
      <c r="F56" s="1" t="str">
        <f>IF(ISNUMBER(MATCH(A56, search_page!$A:$A, 0)), "Yes", "No")</f>
        <v>No</v>
      </c>
    </row>
    <row r="57" spans="1:6">
      <c r="A57">
        <v>1056</v>
      </c>
      <c r="B57" s="2">
        <v>45307.613888888889</v>
      </c>
      <c r="C57" t="str">
        <f>VLOOKUP(A57, user_table!$A:$B, 2, FALSE)</f>
        <v>Female</v>
      </c>
      <c r="D57" t="str">
        <f>VLOOKUP(A57, user_table!$A:$F, 5, FALSE)</f>
        <v>Tablet</v>
      </c>
      <c r="E57" t="str">
        <f>VLOOKUP(A57, user_table!$A:$F, 6, FALSE)</f>
        <v>Organic</v>
      </c>
      <c r="F57" s="1" t="str">
        <f>IF(ISNUMBER(MATCH(A57, search_page!$A:$A, 0)), "Yes", "No")</f>
        <v>Yes</v>
      </c>
    </row>
    <row r="58" spans="1:6">
      <c r="A58">
        <v>1057</v>
      </c>
      <c r="B58" s="2">
        <v>45330.934027777781</v>
      </c>
      <c r="C58" t="str">
        <f>VLOOKUP(A58, user_table!$A:$B, 2, FALSE)</f>
        <v>Male</v>
      </c>
      <c r="D58" t="str">
        <f>VLOOKUP(A58, user_table!$A:$F, 5, FALSE)</f>
        <v>Mobile</v>
      </c>
      <c r="E58" t="str">
        <f>VLOOKUP(A58, user_table!$A:$F, 6, FALSE)</f>
        <v>Paid</v>
      </c>
      <c r="F58" s="1" t="str">
        <f>IF(ISNUMBER(MATCH(A58, search_page!$A:$A, 0)), "Yes", "No")</f>
        <v>No</v>
      </c>
    </row>
    <row r="59" spans="1:6">
      <c r="A59">
        <v>1058</v>
      </c>
      <c r="B59" s="2">
        <v>45326.69027777778</v>
      </c>
      <c r="C59" t="str">
        <f>VLOOKUP(A59, user_table!$A:$B, 2, FALSE)</f>
        <v>Male</v>
      </c>
      <c r="D59" t="str">
        <f>VLOOKUP(A59, user_table!$A:$F, 5, FALSE)</f>
        <v>Desktop</v>
      </c>
      <c r="E59" t="str">
        <f>VLOOKUP(A59, user_table!$A:$F, 6, FALSE)</f>
        <v>Organic</v>
      </c>
      <c r="F59" s="1" t="str">
        <f>IF(ISNUMBER(MATCH(A59, search_page!$A:$A, 0)), "Yes", "No")</f>
        <v>Yes</v>
      </c>
    </row>
    <row r="60" spans="1:6">
      <c r="A60">
        <v>1059</v>
      </c>
      <c r="B60" s="2">
        <v>45355.586805555555</v>
      </c>
      <c r="C60" t="str">
        <f>VLOOKUP(A60, user_table!$A:$B, 2, FALSE)</f>
        <v>Male</v>
      </c>
      <c r="D60" t="str">
        <f>VLOOKUP(A60, user_table!$A:$F, 5, FALSE)</f>
        <v>Tablet</v>
      </c>
      <c r="E60" t="str">
        <f>VLOOKUP(A60, user_table!$A:$F, 6, FALSE)</f>
        <v>Paid</v>
      </c>
      <c r="F60" s="1" t="str">
        <f>IF(ISNUMBER(MATCH(A60, search_page!$A:$A, 0)), "Yes", "No")</f>
        <v>Yes</v>
      </c>
    </row>
    <row r="61" spans="1:6">
      <c r="A61">
        <v>1060</v>
      </c>
      <c r="B61" s="2">
        <v>45368.080555555556</v>
      </c>
      <c r="C61" t="str">
        <f>VLOOKUP(A61, user_table!$A:$B, 2, FALSE)</f>
        <v>Male</v>
      </c>
      <c r="D61" t="str">
        <f>VLOOKUP(A61, user_table!$A:$F, 5, FALSE)</f>
        <v>Mobile</v>
      </c>
      <c r="E61" t="str">
        <f>VLOOKUP(A61, user_table!$A:$F, 6, FALSE)</f>
        <v>Email</v>
      </c>
      <c r="F61" s="1" t="str">
        <f>IF(ISNUMBER(MATCH(A61, search_page!$A:$A, 0)), "Yes", "No")</f>
        <v>Yes</v>
      </c>
    </row>
    <row r="62" spans="1:6">
      <c r="A62">
        <v>1061</v>
      </c>
      <c r="B62" s="2">
        <v>45347.972222222219</v>
      </c>
      <c r="C62" t="str">
        <f>VLOOKUP(A62, user_table!$A:$B, 2, FALSE)</f>
        <v>Male</v>
      </c>
      <c r="D62" t="str">
        <f>VLOOKUP(A62, user_table!$A:$F, 5, FALSE)</f>
        <v>Mobile</v>
      </c>
      <c r="E62" t="str">
        <f>VLOOKUP(A62, user_table!$A:$F, 6, FALSE)</f>
        <v>Direct</v>
      </c>
      <c r="F62" s="1" t="str">
        <f>IF(ISNUMBER(MATCH(A62, search_page!$A:$A, 0)), "Yes", "No")</f>
        <v>Yes</v>
      </c>
    </row>
    <row r="63" spans="1:6">
      <c r="A63">
        <v>1062</v>
      </c>
      <c r="B63" s="2">
        <v>45369.334027777775</v>
      </c>
      <c r="C63" t="str">
        <f>VLOOKUP(A63, user_table!$A:$B, 2, FALSE)</f>
        <v>Male</v>
      </c>
      <c r="D63" t="str">
        <f>VLOOKUP(A63, user_table!$A:$F, 5, FALSE)</f>
        <v>Desktop</v>
      </c>
      <c r="E63" t="str">
        <f>VLOOKUP(A63, user_table!$A:$F, 6, FALSE)</f>
        <v>Organic</v>
      </c>
      <c r="F63" s="1" t="str">
        <f>IF(ISNUMBER(MATCH(A63, search_page!$A:$A, 0)), "Yes", "No")</f>
        <v>No</v>
      </c>
    </row>
    <row r="64" spans="1:6">
      <c r="A64">
        <v>1063</v>
      </c>
      <c r="B64" s="2">
        <v>45303.321527777778</v>
      </c>
      <c r="C64" t="str">
        <f>VLOOKUP(A64, user_table!$A:$B, 2, FALSE)</f>
        <v>Female</v>
      </c>
      <c r="D64" t="str">
        <f>VLOOKUP(A64, user_table!$A:$F, 5, FALSE)</f>
        <v>Desktop</v>
      </c>
      <c r="E64" t="str">
        <f>VLOOKUP(A64, user_table!$A:$F, 6, FALSE)</f>
        <v>Paid</v>
      </c>
      <c r="F64" s="1" t="str">
        <f>IF(ISNUMBER(MATCH(A64, search_page!$A:$A, 0)), "Yes", "No")</f>
        <v>Yes</v>
      </c>
    </row>
    <row r="65" spans="1:6">
      <c r="A65">
        <v>1064</v>
      </c>
      <c r="B65" s="2">
        <v>45365.750694444447</v>
      </c>
      <c r="C65" t="str">
        <f>VLOOKUP(A65, user_table!$A:$B, 2, FALSE)</f>
        <v>Male</v>
      </c>
      <c r="D65" t="str">
        <f>VLOOKUP(A65, user_table!$A:$F, 5, FALSE)</f>
        <v>Desktop</v>
      </c>
      <c r="E65" t="str">
        <f>VLOOKUP(A65, user_table!$A:$F, 6, FALSE)</f>
        <v>Direct</v>
      </c>
      <c r="F65" s="1" t="str">
        <f>IF(ISNUMBER(MATCH(A65, search_page!$A:$A, 0)), "Yes", "No")</f>
        <v>No</v>
      </c>
    </row>
    <row r="66" spans="1:6">
      <c r="A66">
        <v>1065</v>
      </c>
      <c r="B66" s="2">
        <v>45378.35833333333</v>
      </c>
      <c r="C66" t="str">
        <f>VLOOKUP(A66, user_table!$A:$B, 2, FALSE)</f>
        <v>Male</v>
      </c>
      <c r="D66" t="str">
        <f>VLOOKUP(A66, user_table!$A:$F, 5, FALSE)</f>
        <v>Desktop</v>
      </c>
      <c r="E66" t="str">
        <f>VLOOKUP(A66, user_table!$A:$F, 6, FALSE)</f>
        <v>Organic</v>
      </c>
      <c r="F66" s="1" t="str">
        <f>IF(ISNUMBER(MATCH(A66, search_page!$A:$A, 0)), "Yes", "No")</f>
        <v>No</v>
      </c>
    </row>
    <row r="67" spans="1:6">
      <c r="A67">
        <v>1066</v>
      </c>
      <c r="B67" s="2">
        <v>45297.229166666664</v>
      </c>
      <c r="C67" t="str">
        <f>VLOOKUP(A67, user_table!$A:$B, 2, FALSE)</f>
        <v>Female</v>
      </c>
      <c r="D67" t="str">
        <f>VLOOKUP(A67, user_table!$A:$F, 5, FALSE)</f>
        <v>Desktop</v>
      </c>
      <c r="E67" t="str">
        <f>VLOOKUP(A67, user_table!$A:$F, 6, FALSE)</f>
        <v>Organic</v>
      </c>
      <c r="F67" s="1" t="str">
        <f>IF(ISNUMBER(MATCH(A67, search_page!$A:$A, 0)), "Yes", "No")</f>
        <v>Yes</v>
      </c>
    </row>
    <row r="68" spans="1:6">
      <c r="A68">
        <v>1067</v>
      </c>
      <c r="B68" s="2">
        <v>45358.852777777778</v>
      </c>
      <c r="C68" t="str">
        <f>VLOOKUP(A68, user_table!$A:$B, 2, FALSE)</f>
        <v>Male</v>
      </c>
      <c r="D68" t="str">
        <f>VLOOKUP(A68, user_table!$A:$F, 5, FALSE)</f>
        <v>Desktop</v>
      </c>
      <c r="E68" t="str">
        <f>VLOOKUP(A68, user_table!$A:$F, 6, FALSE)</f>
        <v>Organic</v>
      </c>
      <c r="F68" s="1" t="str">
        <f>IF(ISNUMBER(MATCH(A68, search_page!$A:$A, 0)), "Yes", "No")</f>
        <v>No</v>
      </c>
    </row>
    <row r="69" spans="1:6">
      <c r="A69">
        <v>1068</v>
      </c>
      <c r="B69" s="2">
        <v>45327.234027777777</v>
      </c>
      <c r="C69" t="str">
        <f>VLOOKUP(A69, user_table!$A:$B, 2, FALSE)</f>
        <v>Female</v>
      </c>
      <c r="D69" t="str">
        <f>VLOOKUP(A69, user_table!$A:$F, 5, FALSE)</f>
        <v>Desktop</v>
      </c>
      <c r="E69" t="str">
        <f>VLOOKUP(A69, user_table!$A:$F, 6, FALSE)</f>
        <v>Social</v>
      </c>
      <c r="F69" s="1" t="str">
        <f>IF(ISNUMBER(MATCH(A69, search_page!$A:$A, 0)), "Yes", "No")</f>
        <v>Yes</v>
      </c>
    </row>
    <row r="70" spans="1:6">
      <c r="A70">
        <v>1069</v>
      </c>
      <c r="B70" s="2">
        <v>45347.869444444441</v>
      </c>
      <c r="C70" t="str">
        <f>VLOOKUP(A70, user_table!$A:$B, 2, FALSE)</f>
        <v>Male</v>
      </c>
      <c r="D70" t="str">
        <f>VLOOKUP(A70, user_table!$A:$F, 5, FALSE)</f>
        <v>Mobile</v>
      </c>
      <c r="E70" t="str">
        <f>VLOOKUP(A70, user_table!$A:$F, 6, FALSE)</f>
        <v>Organic</v>
      </c>
      <c r="F70" s="1" t="str">
        <f>IF(ISNUMBER(MATCH(A70, search_page!$A:$A, 0)), "Yes", "No")</f>
        <v>No</v>
      </c>
    </row>
    <row r="71" spans="1:6">
      <c r="A71">
        <v>1070</v>
      </c>
      <c r="B71" s="2">
        <v>45354.104166666664</v>
      </c>
      <c r="C71" t="str">
        <f>VLOOKUP(A71, user_table!$A:$B, 2, FALSE)</f>
        <v>Female</v>
      </c>
      <c r="D71" t="str">
        <f>VLOOKUP(A71, user_table!$A:$F, 5, FALSE)</f>
        <v>Desktop</v>
      </c>
      <c r="E71" t="str">
        <f>VLOOKUP(A71, user_table!$A:$F, 6, FALSE)</f>
        <v>Direct</v>
      </c>
      <c r="F71" s="1" t="str">
        <f>IF(ISNUMBER(MATCH(A71, search_page!$A:$A, 0)), "Yes", "No")</f>
        <v>Yes</v>
      </c>
    </row>
    <row r="72" spans="1:6">
      <c r="A72">
        <v>1071</v>
      </c>
      <c r="B72" s="2">
        <v>45336.556250000001</v>
      </c>
      <c r="C72" t="str">
        <f>VLOOKUP(A72, user_table!$A:$B, 2, FALSE)</f>
        <v>Female</v>
      </c>
      <c r="D72" t="str">
        <f>VLOOKUP(A72, user_table!$A:$F, 5, FALSE)</f>
        <v>Desktop</v>
      </c>
      <c r="E72" t="str">
        <f>VLOOKUP(A72, user_table!$A:$F, 6, FALSE)</f>
        <v>Paid</v>
      </c>
      <c r="F72" s="1" t="str">
        <f>IF(ISNUMBER(MATCH(A72, search_page!$A:$A, 0)), "Yes", "No")</f>
        <v>Yes</v>
      </c>
    </row>
    <row r="73" spans="1:6">
      <c r="A73">
        <v>1072</v>
      </c>
      <c r="B73" s="2">
        <v>45333.879166666666</v>
      </c>
      <c r="C73" t="str">
        <f>VLOOKUP(A73, user_table!$A:$B, 2, FALSE)</f>
        <v>Male</v>
      </c>
      <c r="D73" t="str">
        <f>VLOOKUP(A73, user_table!$A:$F, 5, FALSE)</f>
        <v>Tablet</v>
      </c>
      <c r="E73" t="str">
        <f>VLOOKUP(A73, user_table!$A:$F, 6, FALSE)</f>
        <v>Paid</v>
      </c>
      <c r="F73" s="1" t="str">
        <f>IF(ISNUMBER(MATCH(A73, search_page!$A:$A, 0)), "Yes", "No")</f>
        <v>Yes</v>
      </c>
    </row>
    <row r="74" spans="1:6">
      <c r="A74">
        <v>1073</v>
      </c>
      <c r="B74" s="2">
        <v>45312.43472222222</v>
      </c>
      <c r="C74" t="str">
        <f>VLOOKUP(A74, user_table!$A:$B, 2, FALSE)</f>
        <v>Male</v>
      </c>
      <c r="D74" t="str">
        <f>VLOOKUP(A74, user_table!$A:$F, 5, FALSE)</f>
        <v>Tablet</v>
      </c>
      <c r="E74" t="str">
        <f>VLOOKUP(A74, user_table!$A:$F, 6, FALSE)</f>
        <v>Organic</v>
      </c>
      <c r="F74" s="1" t="str">
        <f>IF(ISNUMBER(MATCH(A74, search_page!$A:$A, 0)), "Yes", "No")</f>
        <v>Yes</v>
      </c>
    </row>
    <row r="75" spans="1:6">
      <c r="A75">
        <v>1074</v>
      </c>
      <c r="B75" s="2">
        <v>45380.637499999997</v>
      </c>
      <c r="C75" t="str">
        <f>VLOOKUP(A75, user_table!$A:$B, 2, FALSE)</f>
        <v>Female</v>
      </c>
      <c r="D75" t="str">
        <f>VLOOKUP(A75, user_table!$A:$F, 5, FALSE)</f>
        <v>Mobile</v>
      </c>
      <c r="E75" t="str">
        <f>VLOOKUP(A75, user_table!$A:$F, 6, FALSE)</f>
        <v>Paid</v>
      </c>
      <c r="F75" s="1" t="str">
        <f>IF(ISNUMBER(MATCH(A75, search_page!$A:$A, 0)), "Yes", "No")</f>
        <v>Yes</v>
      </c>
    </row>
    <row r="76" spans="1:6">
      <c r="A76">
        <v>1075</v>
      </c>
      <c r="B76" s="2">
        <v>45376.536111111112</v>
      </c>
      <c r="C76" t="str">
        <f>VLOOKUP(A76, user_table!$A:$B, 2, FALSE)</f>
        <v>Female</v>
      </c>
      <c r="D76" t="str">
        <f>VLOOKUP(A76, user_table!$A:$F, 5, FALSE)</f>
        <v>Tablet</v>
      </c>
      <c r="E76" t="str">
        <f>VLOOKUP(A76, user_table!$A:$F, 6, FALSE)</f>
        <v>Social</v>
      </c>
      <c r="F76" s="1" t="str">
        <f>IF(ISNUMBER(MATCH(A76, search_page!$A:$A, 0)), "Yes", "No")</f>
        <v>Yes</v>
      </c>
    </row>
    <row r="77" spans="1:6">
      <c r="A77">
        <v>1076</v>
      </c>
      <c r="B77" s="2">
        <v>45362.061805555553</v>
      </c>
      <c r="C77" t="str">
        <f>VLOOKUP(A77, user_table!$A:$B, 2, FALSE)</f>
        <v>Female</v>
      </c>
      <c r="D77" t="str">
        <f>VLOOKUP(A77, user_table!$A:$F, 5, FALSE)</f>
        <v>Mobile</v>
      </c>
      <c r="E77" t="str">
        <f>VLOOKUP(A77, user_table!$A:$F, 6, FALSE)</f>
        <v>Email</v>
      </c>
      <c r="F77" s="1" t="str">
        <f>IF(ISNUMBER(MATCH(A77, search_page!$A:$A, 0)), "Yes", "No")</f>
        <v>Yes</v>
      </c>
    </row>
    <row r="78" spans="1:6">
      <c r="A78">
        <v>1077</v>
      </c>
      <c r="B78" s="2">
        <v>45303.427777777775</v>
      </c>
      <c r="C78" t="str">
        <f>VLOOKUP(A78, user_table!$A:$B, 2, FALSE)</f>
        <v>Female</v>
      </c>
      <c r="D78" t="str">
        <f>VLOOKUP(A78, user_table!$A:$F, 5, FALSE)</f>
        <v>Tablet</v>
      </c>
      <c r="E78" t="str">
        <f>VLOOKUP(A78, user_table!$A:$F, 6, FALSE)</f>
        <v>Email</v>
      </c>
      <c r="F78" s="1" t="str">
        <f>IF(ISNUMBER(MATCH(A78, search_page!$A:$A, 0)), "Yes", "No")</f>
        <v>No</v>
      </c>
    </row>
    <row r="79" spans="1:6">
      <c r="A79">
        <v>1078</v>
      </c>
      <c r="B79" s="2">
        <v>45333.15902777778</v>
      </c>
      <c r="C79" t="str">
        <f>VLOOKUP(A79, user_table!$A:$B, 2, FALSE)</f>
        <v>Male</v>
      </c>
      <c r="D79" t="str">
        <f>VLOOKUP(A79, user_table!$A:$F, 5, FALSE)</f>
        <v>Desktop</v>
      </c>
      <c r="E79" t="str">
        <f>VLOOKUP(A79, user_table!$A:$F, 6, FALSE)</f>
        <v>Social</v>
      </c>
      <c r="F79" s="1" t="str">
        <f>IF(ISNUMBER(MATCH(A79, search_page!$A:$A, 0)), "Yes", "No")</f>
        <v>Yes</v>
      </c>
    </row>
    <row r="80" spans="1:6">
      <c r="A80">
        <v>1079</v>
      </c>
      <c r="B80" s="2">
        <v>45343.702777777777</v>
      </c>
      <c r="C80" t="str">
        <f>VLOOKUP(A80, user_table!$A:$B, 2, FALSE)</f>
        <v>Male</v>
      </c>
      <c r="D80" t="str">
        <f>VLOOKUP(A80, user_table!$A:$F, 5, FALSE)</f>
        <v>Desktop</v>
      </c>
      <c r="E80" t="str">
        <f>VLOOKUP(A80, user_table!$A:$F, 6, FALSE)</f>
        <v>Direct</v>
      </c>
      <c r="F80" s="1" t="str">
        <f>IF(ISNUMBER(MATCH(A80, search_page!$A:$A, 0)), "Yes", "No")</f>
        <v>No</v>
      </c>
    </row>
    <row r="81" spans="1:6">
      <c r="A81">
        <v>1080</v>
      </c>
      <c r="B81" s="2">
        <v>45292.913194444445</v>
      </c>
      <c r="C81" t="str">
        <f>VLOOKUP(A81, user_table!$A:$B, 2, FALSE)</f>
        <v>Male</v>
      </c>
      <c r="D81" t="str">
        <f>VLOOKUP(A81, user_table!$A:$F, 5, FALSE)</f>
        <v>Desktop</v>
      </c>
      <c r="E81" t="str">
        <f>VLOOKUP(A81, user_table!$A:$F, 6, FALSE)</f>
        <v>Email</v>
      </c>
      <c r="F81" s="1" t="str">
        <f>IF(ISNUMBER(MATCH(A81, search_page!$A:$A, 0)), "Yes", "No")</f>
        <v>No</v>
      </c>
    </row>
    <row r="82" spans="1:6">
      <c r="A82">
        <v>1081</v>
      </c>
      <c r="B82" s="2">
        <v>45361.601388888892</v>
      </c>
      <c r="C82" t="str">
        <f>VLOOKUP(A82, user_table!$A:$B, 2, FALSE)</f>
        <v>Female</v>
      </c>
      <c r="D82" t="str">
        <f>VLOOKUP(A82, user_table!$A:$F, 5, FALSE)</f>
        <v>Desktop</v>
      </c>
      <c r="E82" t="str">
        <f>VLOOKUP(A82, user_table!$A:$F, 6, FALSE)</f>
        <v>Email</v>
      </c>
      <c r="F82" s="1" t="str">
        <f>IF(ISNUMBER(MATCH(A82, search_page!$A:$A, 0)), "Yes", "No")</f>
        <v>Yes</v>
      </c>
    </row>
    <row r="83" spans="1:6">
      <c r="A83">
        <v>1082</v>
      </c>
      <c r="B83" s="2">
        <v>45298.272916666669</v>
      </c>
      <c r="C83" t="str">
        <f>VLOOKUP(A83, user_table!$A:$B, 2, FALSE)</f>
        <v>Female</v>
      </c>
      <c r="D83" t="str">
        <f>VLOOKUP(A83, user_table!$A:$F, 5, FALSE)</f>
        <v>Desktop</v>
      </c>
      <c r="E83" t="str">
        <f>VLOOKUP(A83, user_table!$A:$F, 6, FALSE)</f>
        <v>Organic</v>
      </c>
      <c r="F83" s="1" t="str">
        <f>IF(ISNUMBER(MATCH(A83, search_page!$A:$A, 0)), "Yes", "No")</f>
        <v>Yes</v>
      </c>
    </row>
    <row r="84" spans="1:6">
      <c r="A84">
        <v>1083</v>
      </c>
      <c r="B84" s="2">
        <v>45338.824999999997</v>
      </c>
      <c r="C84" t="str">
        <f>VLOOKUP(A84, user_table!$A:$B, 2, FALSE)</f>
        <v>Male</v>
      </c>
      <c r="D84" t="str">
        <f>VLOOKUP(A84, user_table!$A:$F, 5, FALSE)</f>
        <v>Mobile</v>
      </c>
      <c r="E84" t="str">
        <f>VLOOKUP(A84, user_table!$A:$F, 6, FALSE)</f>
        <v>Organic</v>
      </c>
      <c r="F84" s="1" t="str">
        <f>IF(ISNUMBER(MATCH(A84, search_page!$A:$A, 0)), "Yes", "No")</f>
        <v>Yes</v>
      </c>
    </row>
    <row r="85" spans="1:6">
      <c r="A85">
        <v>1084</v>
      </c>
      <c r="B85" s="2">
        <v>45355.852777777778</v>
      </c>
      <c r="C85" t="str">
        <f>VLOOKUP(A85, user_table!$A:$B, 2, FALSE)</f>
        <v>Male</v>
      </c>
      <c r="D85" t="str">
        <f>VLOOKUP(A85, user_table!$A:$F, 5, FALSE)</f>
        <v>Mobile</v>
      </c>
      <c r="E85" t="str">
        <f>VLOOKUP(A85, user_table!$A:$F, 6, FALSE)</f>
        <v>Organic</v>
      </c>
      <c r="F85" s="1" t="str">
        <f>IF(ISNUMBER(MATCH(A85, search_page!$A:$A, 0)), "Yes", "No")</f>
        <v>Yes</v>
      </c>
    </row>
    <row r="86" spans="1:6">
      <c r="A86">
        <v>1085</v>
      </c>
      <c r="B86" s="2">
        <v>45298.261805555558</v>
      </c>
      <c r="C86" t="str">
        <f>VLOOKUP(A86, user_table!$A:$B, 2, FALSE)</f>
        <v>Male</v>
      </c>
      <c r="D86" t="str">
        <f>VLOOKUP(A86, user_table!$A:$F, 5, FALSE)</f>
        <v>Mobile</v>
      </c>
      <c r="E86" t="str">
        <f>VLOOKUP(A86, user_table!$A:$F, 6, FALSE)</f>
        <v>Social</v>
      </c>
      <c r="F86" s="1" t="str">
        <f>IF(ISNUMBER(MATCH(A86, search_page!$A:$A, 0)), "Yes", "No")</f>
        <v>No</v>
      </c>
    </row>
    <row r="87" spans="1:6">
      <c r="A87">
        <v>1086</v>
      </c>
      <c r="B87" s="2">
        <v>45362.207638888889</v>
      </c>
      <c r="C87" t="str">
        <f>VLOOKUP(A87, user_table!$A:$B, 2, FALSE)</f>
        <v>Male</v>
      </c>
      <c r="D87" t="str">
        <f>VLOOKUP(A87, user_table!$A:$F, 5, FALSE)</f>
        <v>Desktop</v>
      </c>
      <c r="E87" t="str">
        <f>VLOOKUP(A87, user_table!$A:$F, 6, FALSE)</f>
        <v>Paid</v>
      </c>
      <c r="F87" s="1" t="str">
        <f>IF(ISNUMBER(MATCH(A87, search_page!$A:$A, 0)), "Yes", "No")</f>
        <v>No</v>
      </c>
    </row>
    <row r="88" spans="1:6">
      <c r="A88">
        <v>1087</v>
      </c>
      <c r="B88" s="2">
        <v>45328.62222222222</v>
      </c>
      <c r="C88" t="str">
        <f>VLOOKUP(A88, user_table!$A:$B, 2, FALSE)</f>
        <v>Female</v>
      </c>
      <c r="D88" t="str">
        <f>VLOOKUP(A88, user_table!$A:$F, 5, FALSE)</f>
        <v>Mobile</v>
      </c>
      <c r="E88" t="str">
        <f>VLOOKUP(A88, user_table!$A:$F, 6, FALSE)</f>
        <v>Paid</v>
      </c>
      <c r="F88" s="1" t="str">
        <f>IF(ISNUMBER(MATCH(A88, search_page!$A:$A, 0)), "Yes", "No")</f>
        <v>No</v>
      </c>
    </row>
    <row r="89" spans="1:6">
      <c r="A89">
        <v>1088</v>
      </c>
      <c r="B89" s="2">
        <v>45381.629861111112</v>
      </c>
      <c r="C89" t="str">
        <f>VLOOKUP(A89, user_table!$A:$B, 2, FALSE)</f>
        <v>Female</v>
      </c>
      <c r="D89" t="str">
        <f>VLOOKUP(A89, user_table!$A:$F, 5, FALSE)</f>
        <v>Mobile</v>
      </c>
      <c r="E89" t="str">
        <f>VLOOKUP(A89, user_table!$A:$F, 6, FALSE)</f>
        <v>Email</v>
      </c>
      <c r="F89" s="1" t="str">
        <f>IF(ISNUMBER(MATCH(A89, search_page!$A:$A, 0)), "Yes", "No")</f>
        <v>Yes</v>
      </c>
    </row>
    <row r="90" spans="1:6">
      <c r="A90">
        <v>1089</v>
      </c>
      <c r="B90" s="2">
        <v>45295.859722222223</v>
      </c>
      <c r="C90" t="str">
        <f>VLOOKUP(A90, user_table!$A:$B, 2, FALSE)</f>
        <v>Female</v>
      </c>
      <c r="D90" t="str">
        <f>VLOOKUP(A90, user_table!$A:$F, 5, FALSE)</f>
        <v>Desktop</v>
      </c>
      <c r="E90" t="str">
        <f>VLOOKUP(A90, user_table!$A:$F, 6, FALSE)</f>
        <v>Email</v>
      </c>
      <c r="F90" s="1" t="str">
        <f>IF(ISNUMBER(MATCH(A90, search_page!$A:$A, 0)), "Yes", "No")</f>
        <v>No</v>
      </c>
    </row>
    <row r="91" spans="1:6">
      <c r="A91">
        <v>1090</v>
      </c>
      <c r="B91" s="2">
        <v>45322.923611111109</v>
      </c>
      <c r="C91" t="str">
        <f>VLOOKUP(A91, user_table!$A:$B, 2, FALSE)</f>
        <v>Male</v>
      </c>
      <c r="D91" t="str">
        <f>VLOOKUP(A91, user_table!$A:$F, 5, FALSE)</f>
        <v>Mobile</v>
      </c>
      <c r="E91" t="str">
        <f>VLOOKUP(A91, user_table!$A:$F, 6, FALSE)</f>
        <v>Direct</v>
      </c>
      <c r="F91" s="1" t="str">
        <f>IF(ISNUMBER(MATCH(A91, search_page!$A:$A, 0)), "Yes", "No")</f>
        <v>Yes</v>
      </c>
    </row>
    <row r="92" spans="1:6">
      <c r="A92">
        <v>1091</v>
      </c>
      <c r="B92" s="2">
        <v>45331.708333333336</v>
      </c>
      <c r="C92" t="str">
        <f>VLOOKUP(A92, user_table!$A:$B, 2, FALSE)</f>
        <v>Male</v>
      </c>
      <c r="D92" t="str">
        <f>VLOOKUP(A92, user_table!$A:$F, 5, FALSE)</f>
        <v>Desktop</v>
      </c>
      <c r="E92" t="str">
        <f>VLOOKUP(A92, user_table!$A:$F, 6, FALSE)</f>
        <v>Paid</v>
      </c>
      <c r="F92" s="1" t="str">
        <f>IF(ISNUMBER(MATCH(A92, search_page!$A:$A, 0)), "Yes", "No")</f>
        <v>No</v>
      </c>
    </row>
    <row r="93" spans="1:6">
      <c r="A93">
        <v>1092</v>
      </c>
      <c r="B93" s="2">
        <v>45362.545138888891</v>
      </c>
      <c r="C93" t="str">
        <f>VLOOKUP(A93, user_table!$A:$B, 2, FALSE)</f>
        <v>Female</v>
      </c>
      <c r="D93" t="str">
        <f>VLOOKUP(A93, user_table!$A:$F, 5, FALSE)</f>
        <v>Desktop</v>
      </c>
      <c r="E93" t="str">
        <f>VLOOKUP(A93, user_table!$A:$F, 6, FALSE)</f>
        <v>Social</v>
      </c>
      <c r="F93" s="1" t="str">
        <f>IF(ISNUMBER(MATCH(A93, search_page!$A:$A, 0)), "Yes", "No")</f>
        <v>Yes</v>
      </c>
    </row>
    <row r="94" spans="1:6">
      <c r="A94">
        <v>1093</v>
      </c>
      <c r="B94" s="2">
        <v>45320.145138888889</v>
      </c>
      <c r="C94" t="str">
        <f>VLOOKUP(A94, user_table!$A:$B, 2, FALSE)</f>
        <v>Female</v>
      </c>
      <c r="D94" t="str">
        <f>VLOOKUP(A94, user_table!$A:$F, 5, FALSE)</f>
        <v>Tablet</v>
      </c>
      <c r="E94" t="str">
        <f>VLOOKUP(A94, user_table!$A:$F, 6, FALSE)</f>
        <v>Organic</v>
      </c>
      <c r="F94" s="1" t="str">
        <f>IF(ISNUMBER(MATCH(A94, search_page!$A:$A, 0)), "Yes", "No")</f>
        <v>No</v>
      </c>
    </row>
    <row r="95" spans="1:6">
      <c r="A95">
        <v>1094</v>
      </c>
      <c r="B95" s="2">
        <v>45307.870138888888</v>
      </c>
      <c r="C95" t="str">
        <f>VLOOKUP(A95, user_table!$A:$B, 2, FALSE)</f>
        <v>Female</v>
      </c>
      <c r="D95" t="str">
        <f>VLOOKUP(A95, user_table!$A:$F, 5, FALSE)</f>
        <v>Desktop</v>
      </c>
      <c r="E95" t="str">
        <f>VLOOKUP(A95, user_table!$A:$F, 6, FALSE)</f>
        <v>Organic</v>
      </c>
      <c r="F95" s="1" t="str">
        <f>IF(ISNUMBER(MATCH(A95, search_page!$A:$A, 0)), "Yes", "No")</f>
        <v>Yes</v>
      </c>
    </row>
    <row r="96" spans="1:6">
      <c r="A96">
        <v>1095</v>
      </c>
      <c r="B96" s="2">
        <v>45311.665972222225</v>
      </c>
      <c r="C96" t="str">
        <f>VLOOKUP(A96, user_table!$A:$B, 2, FALSE)</f>
        <v>Female</v>
      </c>
      <c r="D96" t="str">
        <f>VLOOKUP(A96, user_table!$A:$F, 5, FALSE)</f>
        <v>Desktop</v>
      </c>
      <c r="E96" t="str">
        <f>VLOOKUP(A96, user_table!$A:$F, 6, FALSE)</f>
        <v>Organic</v>
      </c>
      <c r="F96" s="1" t="str">
        <f>IF(ISNUMBER(MATCH(A96, search_page!$A:$A, 0)), "Yes", "No")</f>
        <v>Yes</v>
      </c>
    </row>
    <row r="97" spans="1:6">
      <c r="A97">
        <v>1096</v>
      </c>
      <c r="B97" s="2">
        <v>45329.697916666664</v>
      </c>
      <c r="C97" t="str">
        <f>VLOOKUP(A97, user_table!$A:$B, 2, FALSE)</f>
        <v>Male</v>
      </c>
      <c r="D97" t="str">
        <f>VLOOKUP(A97, user_table!$A:$F, 5, FALSE)</f>
        <v>Tablet</v>
      </c>
      <c r="E97" t="str">
        <f>VLOOKUP(A97, user_table!$A:$F, 6, FALSE)</f>
        <v>Paid</v>
      </c>
      <c r="F97" s="1" t="str">
        <f>IF(ISNUMBER(MATCH(A97, search_page!$A:$A, 0)), "Yes", "No")</f>
        <v>Yes</v>
      </c>
    </row>
    <row r="98" spans="1:6">
      <c r="A98">
        <v>1097</v>
      </c>
      <c r="B98" s="2">
        <v>45326.578472222223</v>
      </c>
      <c r="C98" t="str">
        <f>VLOOKUP(A98, user_table!$A:$B, 2, FALSE)</f>
        <v>Female</v>
      </c>
      <c r="D98" t="str">
        <f>VLOOKUP(A98, user_table!$A:$F, 5, FALSE)</f>
        <v>Mobile</v>
      </c>
      <c r="E98" t="str">
        <f>VLOOKUP(A98, user_table!$A:$F, 6, FALSE)</f>
        <v>Paid</v>
      </c>
      <c r="F98" s="1" t="str">
        <f>IF(ISNUMBER(MATCH(A98, search_page!$A:$A, 0)), "Yes", "No")</f>
        <v>Yes</v>
      </c>
    </row>
    <row r="99" spans="1:6">
      <c r="A99">
        <v>1098</v>
      </c>
      <c r="B99" s="2">
        <v>45353.635416666664</v>
      </c>
      <c r="C99" t="str">
        <f>VLOOKUP(A99, user_table!$A:$B, 2, FALSE)</f>
        <v>Male</v>
      </c>
      <c r="D99" t="str">
        <f>VLOOKUP(A99, user_table!$A:$F, 5, FALSE)</f>
        <v>Desktop</v>
      </c>
      <c r="E99" t="str">
        <f>VLOOKUP(A99, user_table!$A:$F, 6, FALSE)</f>
        <v>Email</v>
      </c>
      <c r="F99" s="1" t="str">
        <f>IF(ISNUMBER(MATCH(A99, search_page!$A:$A, 0)), "Yes", "No")</f>
        <v>Yes</v>
      </c>
    </row>
    <row r="100" spans="1:6">
      <c r="A100">
        <v>1099</v>
      </c>
      <c r="B100" s="2">
        <v>45350.714583333334</v>
      </c>
      <c r="C100" t="str">
        <f>VLOOKUP(A100, user_table!$A:$B, 2, FALSE)</f>
        <v>Male</v>
      </c>
      <c r="D100" t="str">
        <f>VLOOKUP(A100, user_table!$A:$F, 5, FALSE)</f>
        <v>Desktop</v>
      </c>
      <c r="E100" t="str">
        <f>VLOOKUP(A100, user_table!$A:$F, 6, FALSE)</f>
        <v>Organic</v>
      </c>
      <c r="F100" s="1" t="str">
        <f>IF(ISNUMBER(MATCH(A100, search_page!$A:$A, 0)), "Yes", "No")</f>
        <v>Yes</v>
      </c>
    </row>
    <row r="101" spans="1:6">
      <c r="A101">
        <v>1100</v>
      </c>
      <c r="B101" s="2">
        <v>45341.290277777778</v>
      </c>
      <c r="C101" t="str">
        <f>VLOOKUP(A101, user_table!$A:$B, 2, FALSE)</f>
        <v>Male</v>
      </c>
      <c r="D101" t="str">
        <f>VLOOKUP(A101, user_table!$A:$F, 5, FALSE)</f>
        <v>Desktop</v>
      </c>
      <c r="E101" t="str">
        <f>VLOOKUP(A101, user_table!$A:$F, 6, FALSE)</f>
        <v>Social</v>
      </c>
      <c r="F101" s="1" t="str">
        <f>IF(ISNUMBER(MATCH(A101, search_page!$A:$A, 0)), "Yes", "No")</f>
        <v>Yes</v>
      </c>
    </row>
    <row r="102" spans="1:6">
      <c r="A102">
        <v>1101</v>
      </c>
      <c r="B102" s="2">
        <v>45368.699305555558</v>
      </c>
      <c r="C102" t="str">
        <f>VLOOKUP(A102, user_table!$A:$B, 2, FALSE)</f>
        <v>Male</v>
      </c>
      <c r="D102" t="str">
        <f>VLOOKUP(A102, user_table!$A:$F, 5, FALSE)</f>
        <v>Mobile</v>
      </c>
      <c r="E102" t="str">
        <f>VLOOKUP(A102, user_table!$A:$F, 6, FALSE)</f>
        <v>Paid</v>
      </c>
      <c r="F102" s="1" t="str">
        <f>IF(ISNUMBER(MATCH(A102, search_page!$A:$A, 0)), "Yes", "No")</f>
        <v>Yes</v>
      </c>
    </row>
    <row r="103" spans="1:6">
      <c r="A103">
        <v>1102</v>
      </c>
      <c r="B103" s="2">
        <v>45309.095138888886</v>
      </c>
      <c r="C103" t="str">
        <f>VLOOKUP(A103, user_table!$A:$B, 2, FALSE)</f>
        <v>Female</v>
      </c>
      <c r="D103" t="str">
        <f>VLOOKUP(A103, user_table!$A:$F, 5, FALSE)</f>
        <v>Desktop</v>
      </c>
      <c r="E103" t="str">
        <f>VLOOKUP(A103, user_table!$A:$F, 6, FALSE)</f>
        <v>Organic</v>
      </c>
      <c r="F103" s="1" t="str">
        <f>IF(ISNUMBER(MATCH(A103, search_page!$A:$A, 0)), "Yes", "No")</f>
        <v>No</v>
      </c>
    </row>
    <row r="104" spans="1:6">
      <c r="A104">
        <v>1103</v>
      </c>
      <c r="B104" s="2">
        <v>45345.457638888889</v>
      </c>
      <c r="C104" t="str">
        <f>VLOOKUP(A104, user_table!$A:$B, 2, FALSE)</f>
        <v>Male</v>
      </c>
      <c r="D104" t="str">
        <f>VLOOKUP(A104, user_table!$A:$F, 5, FALSE)</f>
        <v>Desktop</v>
      </c>
      <c r="E104" t="str">
        <f>VLOOKUP(A104, user_table!$A:$F, 6, FALSE)</f>
        <v>Paid</v>
      </c>
      <c r="F104" s="1" t="str">
        <f>IF(ISNUMBER(MATCH(A104, search_page!$A:$A, 0)), "Yes", "No")</f>
        <v>Yes</v>
      </c>
    </row>
    <row r="105" spans="1:6">
      <c r="A105">
        <v>1104</v>
      </c>
      <c r="B105" s="2">
        <v>45356.369444444441</v>
      </c>
      <c r="C105" t="str">
        <f>VLOOKUP(A105, user_table!$A:$B, 2, FALSE)</f>
        <v>Male</v>
      </c>
      <c r="D105" t="str">
        <f>VLOOKUP(A105, user_table!$A:$F, 5, FALSE)</f>
        <v>Tablet</v>
      </c>
      <c r="E105" t="str">
        <f>VLOOKUP(A105, user_table!$A:$F, 6, FALSE)</f>
        <v>Organic</v>
      </c>
      <c r="F105" s="1" t="str">
        <f>IF(ISNUMBER(MATCH(A105, search_page!$A:$A, 0)), "Yes", "No")</f>
        <v>Yes</v>
      </c>
    </row>
    <row r="106" spans="1:6">
      <c r="A106">
        <v>1105</v>
      </c>
      <c r="B106" s="2">
        <v>45292.406944444447</v>
      </c>
      <c r="C106" t="str">
        <f>VLOOKUP(A106, user_table!$A:$B, 2, FALSE)</f>
        <v>Female</v>
      </c>
      <c r="D106" t="str">
        <f>VLOOKUP(A106, user_table!$A:$F, 5, FALSE)</f>
        <v>Mobile</v>
      </c>
      <c r="E106" t="str">
        <f>VLOOKUP(A106, user_table!$A:$F, 6, FALSE)</f>
        <v>Social</v>
      </c>
      <c r="F106" s="1" t="str">
        <f>IF(ISNUMBER(MATCH(A106, search_page!$A:$A, 0)), "Yes", "No")</f>
        <v>Yes</v>
      </c>
    </row>
    <row r="107" spans="1:6">
      <c r="A107">
        <v>1106</v>
      </c>
      <c r="B107" s="2">
        <v>45330.775694444441</v>
      </c>
      <c r="C107" t="str">
        <f>VLOOKUP(A107, user_table!$A:$B, 2, FALSE)</f>
        <v>Male</v>
      </c>
      <c r="D107" t="str">
        <f>VLOOKUP(A107, user_table!$A:$F, 5, FALSE)</f>
        <v>Desktop</v>
      </c>
      <c r="E107" t="str">
        <f>VLOOKUP(A107, user_table!$A:$F, 6, FALSE)</f>
        <v>Paid</v>
      </c>
      <c r="F107" s="1" t="str">
        <f>IF(ISNUMBER(MATCH(A107, search_page!$A:$A, 0)), "Yes", "No")</f>
        <v>Yes</v>
      </c>
    </row>
    <row r="108" spans="1:6">
      <c r="A108">
        <v>1107</v>
      </c>
      <c r="B108" s="2">
        <v>45376.663194444445</v>
      </c>
      <c r="C108" t="str">
        <f>VLOOKUP(A108, user_table!$A:$B, 2, FALSE)</f>
        <v>Male</v>
      </c>
      <c r="D108" t="str">
        <f>VLOOKUP(A108, user_table!$A:$F, 5, FALSE)</f>
        <v>Mobile</v>
      </c>
      <c r="E108" t="str">
        <f>VLOOKUP(A108, user_table!$A:$F, 6, FALSE)</f>
        <v>Organic</v>
      </c>
      <c r="F108" s="1" t="str">
        <f>IF(ISNUMBER(MATCH(A108, search_page!$A:$A, 0)), "Yes", "No")</f>
        <v>Yes</v>
      </c>
    </row>
    <row r="109" spans="1:6">
      <c r="A109">
        <v>1108</v>
      </c>
      <c r="B109" s="2">
        <v>45311.606944444444</v>
      </c>
      <c r="C109" t="str">
        <f>VLOOKUP(A109, user_table!$A:$B, 2, FALSE)</f>
        <v>Female</v>
      </c>
      <c r="D109" t="str">
        <f>VLOOKUP(A109, user_table!$A:$F, 5, FALSE)</f>
        <v>Mobile</v>
      </c>
      <c r="E109" t="str">
        <f>VLOOKUP(A109, user_table!$A:$F, 6, FALSE)</f>
        <v>Organic</v>
      </c>
      <c r="F109" s="1" t="str">
        <f>IF(ISNUMBER(MATCH(A109, search_page!$A:$A, 0)), "Yes", "No")</f>
        <v>No</v>
      </c>
    </row>
    <row r="110" spans="1:6">
      <c r="A110">
        <v>1109</v>
      </c>
      <c r="B110" s="2">
        <v>45353.472916666666</v>
      </c>
      <c r="C110" t="str">
        <f>VLOOKUP(A110, user_table!$A:$B, 2, FALSE)</f>
        <v>Male</v>
      </c>
      <c r="D110" t="str">
        <f>VLOOKUP(A110, user_table!$A:$F, 5, FALSE)</f>
        <v>Desktop</v>
      </c>
      <c r="E110" t="str">
        <f>VLOOKUP(A110, user_table!$A:$F, 6, FALSE)</f>
        <v>Paid</v>
      </c>
      <c r="F110" s="1" t="str">
        <f>IF(ISNUMBER(MATCH(A110, search_page!$A:$A, 0)), "Yes", "No")</f>
        <v>Yes</v>
      </c>
    </row>
    <row r="111" spans="1:6">
      <c r="A111">
        <v>1110</v>
      </c>
      <c r="B111" s="2">
        <v>45362.724999999999</v>
      </c>
      <c r="C111" t="str">
        <f>VLOOKUP(A111, user_table!$A:$B, 2, FALSE)</f>
        <v>Male</v>
      </c>
      <c r="D111" t="str">
        <f>VLOOKUP(A111, user_table!$A:$F, 5, FALSE)</f>
        <v>Desktop</v>
      </c>
      <c r="E111" t="str">
        <f>VLOOKUP(A111, user_table!$A:$F, 6, FALSE)</f>
        <v>Direct</v>
      </c>
      <c r="F111" s="1" t="str">
        <f>IF(ISNUMBER(MATCH(A111, search_page!$A:$A, 0)), "Yes", "No")</f>
        <v>Yes</v>
      </c>
    </row>
    <row r="112" spans="1:6">
      <c r="A112">
        <v>1111</v>
      </c>
      <c r="B112" s="2">
        <v>45350.454861111109</v>
      </c>
      <c r="C112" t="str">
        <f>VLOOKUP(A112, user_table!$A:$B, 2, FALSE)</f>
        <v>Male</v>
      </c>
      <c r="D112" t="str">
        <f>VLOOKUP(A112, user_table!$A:$F, 5, FALSE)</f>
        <v>Mobile</v>
      </c>
      <c r="E112" t="str">
        <f>VLOOKUP(A112, user_table!$A:$F, 6, FALSE)</f>
        <v>Paid</v>
      </c>
      <c r="F112" s="1" t="str">
        <f>IF(ISNUMBER(MATCH(A112, search_page!$A:$A, 0)), "Yes", "No")</f>
        <v>Yes</v>
      </c>
    </row>
    <row r="113" spans="1:6">
      <c r="A113">
        <v>1112</v>
      </c>
      <c r="B113" s="2">
        <v>45316.927083333336</v>
      </c>
      <c r="C113" t="str">
        <f>VLOOKUP(A113, user_table!$A:$B, 2, FALSE)</f>
        <v>Male</v>
      </c>
      <c r="D113" t="str">
        <f>VLOOKUP(A113, user_table!$A:$F, 5, FALSE)</f>
        <v>Desktop</v>
      </c>
      <c r="E113" t="str">
        <f>VLOOKUP(A113, user_table!$A:$F, 6, FALSE)</f>
        <v>Social</v>
      </c>
      <c r="F113" s="1" t="str">
        <f>IF(ISNUMBER(MATCH(A113, search_page!$A:$A, 0)), "Yes", "No")</f>
        <v>Yes</v>
      </c>
    </row>
    <row r="114" spans="1:6">
      <c r="A114">
        <v>1113</v>
      </c>
      <c r="B114" s="2">
        <v>45365.509722222225</v>
      </c>
      <c r="C114" t="str">
        <f>VLOOKUP(A114, user_table!$A:$B, 2, FALSE)</f>
        <v>Female</v>
      </c>
      <c r="D114" t="str">
        <f>VLOOKUP(A114, user_table!$A:$F, 5, FALSE)</f>
        <v>Mobile</v>
      </c>
      <c r="E114" t="str">
        <f>VLOOKUP(A114, user_table!$A:$F, 6, FALSE)</f>
        <v>Social</v>
      </c>
      <c r="F114" s="1" t="str">
        <f>IF(ISNUMBER(MATCH(A114, search_page!$A:$A, 0)), "Yes", "No")</f>
        <v>Yes</v>
      </c>
    </row>
    <row r="115" spans="1:6">
      <c r="A115">
        <v>1114</v>
      </c>
      <c r="B115" s="2">
        <v>45344.055555555555</v>
      </c>
      <c r="C115" t="str">
        <f>VLOOKUP(A115, user_table!$A:$B, 2, FALSE)</f>
        <v>Female</v>
      </c>
      <c r="D115" t="str">
        <f>VLOOKUP(A115, user_table!$A:$F, 5, FALSE)</f>
        <v>Desktop</v>
      </c>
      <c r="E115" t="str">
        <f>VLOOKUP(A115, user_table!$A:$F, 6, FALSE)</f>
        <v>Direct</v>
      </c>
      <c r="F115" s="1" t="str">
        <f>IF(ISNUMBER(MATCH(A115, search_page!$A:$A, 0)), "Yes", "No")</f>
        <v>No</v>
      </c>
    </row>
    <row r="116" spans="1:6">
      <c r="A116">
        <v>1115</v>
      </c>
      <c r="B116" s="2">
        <v>45352.956944444442</v>
      </c>
      <c r="C116" t="str">
        <f>VLOOKUP(A116, user_table!$A:$B, 2, FALSE)</f>
        <v>Female</v>
      </c>
      <c r="D116" t="str">
        <f>VLOOKUP(A116, user_table!$A:$F, 5, FALSE)</f>
        <v>Desktop</v>
      </c>
      <c r="E116" t="str">
        <f>VLOOKUP(A116, user_table!$A:$F, 6, FALSE)</f>
        <v>Email</v>
      </c>
      <c r="F116" s="1" t="str">
        <f>IF(ISNUMBER(MATCH(A116, search_page!$A:$A, 0)), "Yes", "No")</f>
        <v>Yes</v>
      </c>
    </row>
    <row r="117" spans="1:6">
      <c r="A117">
        <v>1116</v>
      </c>
      <c r="B117" s="2">
        <v>45340.529166666667</v>
      </c>
      <c r="C117" t="str">
        <f>VLOOKUP(A117, user_table!$A:$B, 2, FALSE)</f>
        <v>Female</v>
      </c>
      <c r="D117" t="str">
        <f>VLOOKUP(A117, user_table!$A:$F, 5, FALSE)</f>
        <v>Desktop</v>
      </c>
      <c r="E117" t="str">
        <f>VLOOKUP(A117, user_table!$A:$F, 6, FALSE)</f>
        <v>Social</v>
      </c>
      <c r="F117" s="1" t="str">
        <f>IF(ISNUMBER(MATCH(A117, search_page!$A:$A, 0)), "Yes", "No")</f>
        <v>No</v>
      </c>
    </row>
    <row r="118" spans="1:6">
      <c r="A118">
        <v>1117</v>
      </c>
      <c r="B118" s="2">
        <v>45375.188194444447</v>
      </c>
      <c r="C118" t="str">
        <f>VLOOKUP(A118, user_table!$A:$B, 2, FALSE)</f>
        <v>Female</v>
      </c>
      <c r="D118" t="str">
        <f>VLOOKUP(A118, user_table!$A:$F, 5, FALSE)</f>
        <v>Desktop</v>
      </c>
      <c r="E118" t="str">
        <f>VLOOKUP(A118, user_table!$A:$F, 6, FALSE)</f>
        <v>Social</v>
      </c>
      <c r="F118" s="1" t="str">
        <f>IF(ISNUMBER(MATCH(A118, search_page!$A:$A, 0)), "Yes", "No")</f>
        <v>Yes</v>
      </c>
    </row>
    <row r="119" spans="1:6">
      <c r="A119">
        <v>1118</v>
      </c>
      <c r="B119" s="2">
        <v>45296.188888888886</v>
      </c>
      <c r="C119" t="str">
        <f>VLOOKUP(A119, user_table!$A:$B, 2, FALSE)</f>
        <v>Male</v>
      </c>
      <c r="D119" t="str">
        <f>VLOOKUP(A119, user_table!$A:$F, 5, FALSE)</f>
        <v>Desktop</v>
      </c>
      <c r="E119" t="str">
        <f>VLOOKUP(A119, user_table!$A:$F, 6, FALSE)</f>
        <v>Email</v>
      </c>
      <c r="F119" s="1" t="str">
        <f>IF(ISNUMBER(MATCH(A119, search_page!$A:$A, 0)), "Yes", "No")</f>
        <v>Yes</v>
      </c>
    </row>
    <row r="120" spans="1:6">
      <c r="A120">
        <v>1119</v>
      </c>
      <c r="B120" s="2">
        <v>45367.454861111109</v>
      </c>
      <c r="C120" t="str">
        <f>VLOOKUP(A120, user_table!$A:$B, 2, FALSE)</f>
        <v>Female</v>
      </c>
      <c r="D120" t="str">
        <f>VLOOKUP(A120, user_table!$A:$F, 5, FALSE)</f>
        <v>Desktop</v>
      </c>
      <c r="E120" t="str">
        <f>VLOOKUP(A120, user_table!$A:$F, 6, FALSE)</f>
        <v>Paid</v>
      </c>
      <c r="F120" s="1" t="str">
        <f>IF(ISNUMBER(MATCH(A120, search_page!$A:$A, 0)), "Yes", "No")</f>
        <v>Yes</v>
      </c>
    </row>
    <row r="121" spans="1:6">
      <c r="A121">
        <v>1120</v>
      </c>
      <c r="B121" s="2">
        <v>45304.587500000001</v>
      </c>
      <c r="C121" t="str">
        <f>VLOOKUP(A121, user_table!$A:$B, 2, FALSE)</f>
        <v>Female</v>
      </c>
      <c r="D121" t="str">
        <f>VLOOKUP(A121, user_table!$A:$F, 5, FALSE)</f>
        <v>Mobile</v>
      </c>
      <c r="E121" t="str">
        <f>VLOOKUP(A121, user_table!$A:$F, 6, FALSE)</f>
        <v>Paid</v>
      </c>
      <c r="F121" s="1" t="str">
        <f>IF(ISNUMBER(MATCH(A121, search_page!$A:$A, 0)), "Yes", "No")</f>
        <v>No</v>
      </c>
    </row>
    <row r="122" spans="1:6">
      <c r="A122">
        <v>1121</v>
      </c>
      <c r="B122" s="2">
        <v>45359.583333333336</v>
      </c>
      <c r="C122" t="str">
        <f>VLOOKUP(A122, user_table!$A:$B, 2, FALSE)</f>
        <v>Female</v>
      </c>
      <c r="D122" t="str">
        <f>VLOOKUP(A122, user_table!$A:$F, 5, FALSE)</f>
        <v>Tablet</v>
      </c>
      <c r="E122" t="str">
        <f>VLOOKUP(A122, user_table!$A:$F, 6, FALSE)</f>
        <v>Organic</v>
      </c>
      <c r="F122" s="1" t="str">
        <f>IF(ISNUMBER(MATCH(A122, search_page!$A:$A, 0)), "Yes", "No")</f>
        <v>No</v>
      </c>
    </row>
    <row r="123" spans="1:6">
      <c r="A123">
        <v>1122</v>
      </c>
      <c r="B123" s="2">
        <v>45310.579861111109</v>
      </c>
      <c r="C123" t="str">
        <f>VLOOKUP(A123, user_table!$A:$B, 2, FALSE)</f>
        <v>Female</v>
      </c>
      <c r="D123" t="str">
        <f>VLOOKUP(A123, user_table!$A:$F, 5, FALSE)</f>
        <v>Mobile</v>
      </c>
      <c r="E123" t="str">
        <f>VLOOKUP(A123, user_table!$A:$F, 6, FALSE)</f>
        <v>Email</v>
      </c>
      <c r="F123" s="1" t="str">
        <f>IF(ISNUMBER(MATCH(A123, search_page!$A:$A, 0)), "Yes", "No")</f>
        <v>No</v>
      </c>
    </row>
    <row r="124" spans="1:6">
      <c r="A124">
        <v>1123</v>
      </c>
      <c r="B124" s="2">
        <v>45375.169444444444</v>
      </c>
      <c r="C124" t="str">
        <f>VLOOKUP(A124, user_table!$A:$B, 2, FALSE)</f>
        <v>Male</v>
      </c>
      <c r="D124" t="str">
        <f>VLOOKUP(A124, user_table!$A:$F, 5, FALSE)</f>
        <v>Tablet</v>
      </c>
      <c r="E124" t="str">
        <f>VLOOKUP(A124, user_table!$A:$F, 6, FALSE)</f>
        <v>Email</v>
      </c>
      <c r="F124" s="1" t="str">
        <f>IF(ISNUMBER(MATCH(A124, search_page!$A:$A, 0)), "Yes", "No")</f>
        <v>Yes</v>
      </c>
    </row>
    <row r="125" spans="1:6">
      <c r="A125">
        <v>1124</v>
      </c>
      <c r="B125" s="2">
        <v>45352.347916666666</v>
      </c>
      <c r="C125" t="str">
        <f>VLOOKUP(A125, user_table!$A:$B, 2, FALSE)</f>
        <v>Male</v>
      </c>
      <c r="D125" t="str">
        <f>VLOOKUP(A125, user_table!$A:$F, 5, FALSE)</f>
        <v>Desktop</v>
      </c>
      <c r="E125" t="str">
        <f>VLOOKUP(A125, user_table!$A:$F, 6, FALSE)</f>
        <v>Organic</v>
      </c>
      <c r="F125" s="1" t="str">
        <f>IF(ISNUMBER(MATCH(A125, search_page!$A:$A, 0)), "Yes", "No")</f>
        <v>Yes</v>
      </c>
    </row>
    <row r="126" spans="1:6">
      <c r="A126">
        <v>1125</v>
      </c>
      <c r="B126" s="2">
        <v>45371.934027777781</v>
      </c>
      <c r="C126" t="str">
        <f>VLOOKUP(A126, user_table!$A:$B, 2, FALSE)</f>
        <v>Male</v>
      </c>
      <c r="D126" t="str">
        <f>VLOOKUP(A126, user_table!$A:$F, 5, FALSE)</f>
        <v>Tablet</v>
      </c>
      <c r="E126" t="str">
        <f>VLOOKUP(A126, user_table!$A:$F, 6, FALSE)</f>
        <v>Social</v>
      </c>
      <c r="F126" s="1" t="str">
        <f>IF(ISNUMBER(MATCH(A126, search_page!$A:$A, 0)), "Yes", "No")</f>
        <v>No</v>
      </c>
    </row>
    <row r="127" spans="1:6">
      <c r="A127">
        <v>1126</v>
      </c>
      <c r="B127" s="2">
        <v>45375.120833333334</v>
      </c>
      <c r="C127" t="str">
        <f>VLOOKUP(A127, user_table!$A:$B, 2, FALSE)</f>
        <v>Male</v>
      </c>
      <c r="D127" t="str">
        <f>VLOOKUP(A127, user_table!$A:$F, 5, FALSE)</f>
        <v>Desktop</v>
      </c>
      <c r="E127" t="str">
        <f>VLOOKUP(A127, user_table!$A:$F, 6, FALSE)</f>
        <v>Paid</v>
      </c>
      <c r="F127" s="1" t="str">
        <f>IF(ISNUMBER(MATCH(A127, search_page!$A:$A, 0)), "Yes", "No")</f>
        <v>No</v>
      </c>
    </row>
    <row r="128" spans="1:6">
      <c r="A128">
        <v>1127</v>
      </c>
      <c r="B128" s="2">
        <v>45334.912499999999</v>
      </c>
      <c r="C128" t="str">
        <f>VLOOKUP(A128, user_table!$A:$B, 2, FALSE)</f>
        <v>Female</v>
      </c>
      <c r="D128" t="str">
        <f>VLOOKUP(A128, user_table!$A:$F, 5, FALSE)</f>
        <v>Tablet</v>
      </c>
      <c r="E128" t="str">
        <f>VLOOKUP(A128, user_table!$A:$F, 6, FALSE)</f>
        <v>Organic</v>
      </c>
      <c r="F128" s="1" t="str">
        <f>IF(ISNUMBER(MATCH(A128, search_page!$A:$A, 0)), "Yes", "No")</f>
        <v>No</v>
      </c>
    </row>
    <row r="129" spans="1:6">
      <c r="A129">
        <v>1128</v>
      </c>
      <c r="B129" s="2">
        <v>45360.513888888891</v>
      </c>
      <c r="C129" t="str">
        <f>VLOOKUP(A129, user_table!$A:$B, 2, FALSE)</f>
        <v>Female</v>
      </c>
      <c r="D129" t="str">
        <f>VLOOKUP(A129, user_table!$A:$F, 5, FALSE)</f>
        <v>Tablet</v>
      </c>
      <c r="E129" t="str">
        <f>VLOOKUP(A129, user_table!$A:$F, 6, FALSE)</f>
        <v>Direct</v>
      </c>
      <c r="F129" s="1" t="str">
        <f>IF(ISNUMBER(MATCH(A129, search_page!$A:$A, 0)), "Yes", "No")</f>
        <v>Yes</v>
      </c>
    </row>
    <row r="130" spans="1:6">
      <c r="A130">
        <v>1129</v>
      </c>
      <c r="B130" s="2">
        <v>45372.955555555556</v>
      </c>
      <c r="C130" t="str">
        <f>VLOOKUP(A130, user_table!$A:$B, 2, FALSE)</f>
        <v>Male</v>
      </c>
      <c r="D130" t="str">
        <f>VLOOKUP(A130, user_table!$A:$F, 5, FALSE)</f>
        <v>Mobile</v>
      </c>
      <c r="E130" t="str">
        <f>VLOOKUP(A130, user_table!$A:$F, 6, FALSE)</f>
        <v>Organic</v>
      </c>
      <c r="F130" s="1" t="str">
        <f>IF(ISNUMBER(MATCH(A130, search_page!$A:$A, 0)), "Yes", "No")</f>
        <v>Yes</v>
      </c>
    </row>
    <row r="131" spans="1:6">
      <c r="A131">
        <v>1130</v>
      </c>
      <c r="B131" s="2">
        <v>45354.709722222222</v>
      </c>
      <c r="C131" t="str">
        <f>VLOOKUP(A131, user_table!$A:$B, 2, FALSE)</f>
        <v>Male</v>
      </c>
      <c r="D131" t="str">
        <f>VLOOKUP(A131, user_table!$A:$F, 5, FALSE)</f>
        <v>Tablet</v>
      </c>
      <c r="E131" t="str">
        <f>VLOOKUP(A131, user_table!$A:$F, 6, FALSE)</f>
        <v>Organic</v>
      </c>
      <c r="F131" s="1" t="str">
        <f>IF(ISNUMBER(MATCH(A131, search_page!$A:$A, 0)), "Yes", "No")</f>
        <v>No</v>
      </c>
    </row>
    <row r="132" spans="1:6">
      <c r="A132">
        <v>1131</v>
      </c>
      <c r="B132" s="2">
        <v>45371.09375</v>
      </c>
      <c r="C132" t="str">
        <f>VLOOKUP(A132, user_table!$A:$B, 2, FALSE)</f>
        <v>Male</v>
      </c>
      <c r="D132" t="str">
        <f>VLOOKUP(A132, user_table!$A:$F, 5, FALSE)</f>
        <v>Mobile</v>
      </c>
      <c r="E132" t="str">
        <f>VLOOKUP(A132, user_table!$A:$F, 6, FALSE)</f>
        <v>Social</v>
      </c>
      <c r="F132" s="1" t="str">
        <f>IF(ISNUMBER(MATCH(A132, search_page!$A:$A, 0)), "Yes", "No")</f>
        <v>Yes</v>
      </c>
    </row>
    <row r="133" spans="1:6">
      <c r="A133">
        <v>1132</v>
      </c>
      <c r="B133" s="2">
        <v>45372.915277777778</v>
      </c>
      <c r="C133" t="str">
        <f>VLOOKUP(A133, user_table!$A:$B, 2, FALSE)</f>
        <v>Male</v>
      </c>
      <c r="D133" t="str">
        <f>VLOOKUP(A133, user_table!$A:$F, 5, FALSE)</f>
        <v>Desktop</v>
      </c>
      <c r="E133" t="str">
        <f>VLOOKUP(A133, user_table!$A:$F, 6, FALSE)</f>
        <v>Social</v>
      </c>
      <c r="F133" s="1" t="str">
        <f>IF(ISNUMBER(MATCH(A133, search_page!$A:$A, 0)), "Yes", "No")</f>
        <v>Yes</v>
      </c>
    </row>
    <row r="134" spans="1:6">
      <c r="A134">
        <v>1133</v>
      </c>
      <c r="B134" s="2">
        <v>45328.324305555558</v>
      </c>
      <c r="C134" t="str">
        <f>VLOOKUP(A134, user_table!$A:$B, 2, FALSE)</f>
        <v>Male</v>
      </c>
      <c r="D134" t="str">
        <f>VLOOKUP(A134, user_table!$A:$F, 5, FALSE)</f>
        <v>Desktop</v>
      </c>
      <c r="E134" t="str">
        <f>VLOOKUP(A134, user_table!$A:$F, 6, FALSE)</f>
        <v>Organic</v>
      </c>
      <c r="F134" s="1" t="str">
        <f>IF(ISNUMBER(MATCH(A134, search_page!$A:$A, 0)), "Yes", "No")</f>
        <v>No</v>
      </c>
    </row>
    <row r="135" spans="1:6">
      <c r="A135">
        <v>1134</v>
      </c>
      <c r="B135" s="2">
        <v>45303.54583333333</v>
      </c>
      <c r="C135" t="str">
        <f>VLOOKUP(A135, user_table!$A:$B, 2, FALSE)</f>
        <v>Male</v>
      </c>
      <c r="D135" t="str">
        <f>VLOOKUP(A135, user_table!$A:$F, 5, FALSE)</f>
        <v>Mobile</v>
      </c>
      <c r="E135" t="str">
        <f>VLOOKUP(A135, user_table!$A:$F, 6, FALSE)</f>
        <v>Social</v>
      </c>
      <c r="F135" s="1" t="str">
        <f>IF(ISNUMBER(MATCH(A135, search_page!$A:$A, 0)), "Yes", "No")</f>
        <v>Yes</v>
      </c>
    </row>
    <row r="136" spans="1:6">
      <c r="A136">
        <v>1135</v>
      </c>
      <c r="B136" s="2">
        <v>45373.954861111109</v>
      </c>
      <c r="C136" t="str">
        <f>VLOOKUP(A136, user_table!$A:$B, 2, FALSE)</f>
        <v>Female</v>
      </c>
      <c r="D136" t="str">
        <f>VLOOKUP(A136, user_table!$A:$F, 5, FALSE)</f>
        <v>Desktop</v>
      </c>
      <c r="E136" t="str">
        <f>VLOOKUP(A136, user_table!$A:$F, 6, FALSE)</f>
        <v>Paid</v>
      </c>
      <c r="F136" s="1" t="str">
        <f>IF(ISNUMBER(MATCH(A136, search_page!$A:$A, 0)), "Yes", "No")</f>
        <v>Yes</v>
      </c>
    </row>
    <row r="137" spans="1:6">
      <c r="A137">
        <v>1136</v>
      </c>
      <c r="B137" s="2">
        <v>45304.590277777781</v>
      </c>
      <c r="C137" t="str">
        <f>VLOOKUP(A137, user_table!$A:$B, 2, FALSE)</f>
        <v>Male</v>
      </c>
      <c r="D137" t="str">
        <f>VLOOKUP(A137, user_table!$A:$F, 5, FALSE)</f>
        <v>Mobile</v>
      </c>
      <c r="E137" t="str">
        <f>VLOOKUP(A137, user_table!$A:$F, 6, FALSE)</f>
        <v>Organic</v>
      </c>
      <c r="F137" s="1" t="str">
        <f>IF(ISNUMBER(MATCH(A137, search_page!$A:$A, 0)), "Yes", "No")</f>
        <v>Yes</v>
      </c>
    </row>
    <row r="138" spans="1:6">
      <c r="A138">
        <v>1137</v>
      </c>
      <c r="B138" s="2">
        <v>45380.414583333331</v>
      </c>
      <c r="C138" t="str">
        <f>VLOOKUP(A138, user_table!$A:$B, 2, FALSE)</f>
        <v>Male</v>
      </c>
      <c r="D138" t="str">
        <f>VLOOKUP(A138, user_table!$A:$F, 5, FALSE)</f>
        <v>Tablet</v>
      </c>
      <c r="E138" t="str">
        <f>VLOOKUP(A138, user_table!$A:$F, 6, FALSE)</f>
        <v>Organic</v>
      </c>
      <c r="F138" s="1" t="str">
        <f>IF(ISNUMBER(MATCH(A138, search_page!$A:$A, 0)), "Yes", "No")</f>
        <v>No</v>
      </c>
    </row>
    <row r="139" spans="1:6">
      <c r="A139">
        <v>1138</v>
      </c>
      <c r="B139" s="2">
        <v>45295.055555555555</v>
      </c>
      <c r="C139" t="str">
        <f>VLOOKUP(A139, user_table!$A:$B, 2, FALSE)</f>
        <v>Female</v>
      </c>
      <c r="D139" t="str">
        <f>VLOOKUP(A139, user_table!$A:$F, 5, FALSE)</f>
        <v>Desktop</v>
      </c>
      <c r="E139" t="str">
        <f>VLOOKUP(A139, user_table!$A:$F, 6, FALSE)</f>
        <v>Social</v>
      </c>
      <c r="F139" s="1" t="str">
        <f>IF(ISNUMBER(MATCH(A139, search_page!$A:$A, 0)), "Yes", "No")</f>
        <v>Yes</v>
      </c>
    </row>
    <row r="140" spans="1:6">
      <c r="A140">
        <v>1139</v>
      </c>
      <c r="B140" s="2">
        <v>45299.390277777777</v>
      </c>
      <c r="C140" t="str">
        <f>VLOOKUP(A140, user_table!$A:$B, 2, FALSE)</f>
        <v>Male</v>
      </c>
      <c r="D140" t="str">
        <f>VLOOKUP(A140, user_table!$A:$F, 5, FALSE)</f>
        <v>Mobile</v>
      </c>
      <c r="E140" t="str">
        <f>VLOOKUP(A140, user_table!$A:$F, 6, FALSE)</f>
        <v>Organic</v>
      </c>
      <c r="F140" s="1" t="str">
        <f>IF(ISNUMBER(MATCH(A140, search_page!$A:$A, 0)), "Yes", "No")</f>
        <v>No</v>
      </c>
    </row>
    <row r="141" spans="1:6">
      <c r="A141">
        <v>1140</v>
      </c>
      <c r="B141" s="2">
        <v>45339.54791666667</v>
      </c>
      <c r="C141" t="str">
        <f>VLOOKUP(A141, user_table!$A:$B, 2, FALSE)</f>
        <v>Female</v>
      </c>
      <c r="D141" t="str">
        <f>VLOOKUP(A141, user_table!$A:$F, 5, FALSE)</f>
        <v>Tablet</v>
      </c>
      <c r="E141" t="str">
        <f>VLOOKUP(A141, user_table!$A:$F, 6, FALSE)</f>
        <v>Direct</v>
      </c>
      <c r="F141" s="1" t="str">
        <f>IF(ISNUMBER(MATCH(A141, search_page!$A:$A, 0)), "Yes", "No")</f>
        <v>No</v>
      </c>
    </row>
    <row r="142" spans="1:6">
      <c r="A142">
        <v>1141</v>
      </c>
      <c r="B142" s="2">
        <v>45323.68472222222</v>
      </c>
      <c r="C142" t="str">
        <f>VLOOKUP(A142, user_table!$A:$B, 2, FALSE)</f>
        <v>Female</v>
      </c>
      <c r="D142" t="str">
        <f>VLOOKUP(A142, user_table!$A:$F, 5, FALSE)</f>
        <v>Tablet</v>
      </c>
      <c r="E142" t="str">
        <f>VLOOKUP(A142, user_table!$A:$F, 6, FALSE)</f>
        <v>Email</v>
      </c>
      <c r="F142" s="1" t="str">
        <f>IF(ISNUMBER(MATCH(A142, search_page!$A:$A, 0)), "Yes", "No")</f>
        <v>No</v>
      </c>
    </row>
    <row r="143" spans="1:6">
      <c r="A143">
        <v>1142</v>
      </c>
      <c r="B143" s="2">
        <v>45364.909722222219</v>
      </c>
      <c r="C143" t="str">
        <f>VLOOKUP(A143, user_table!$A:$B, 2, FALSE)</f>
        <v>Male</v>
      </c>
      <c r="D143" t="str">
        <f>VLOOKUP(A143, user_table!$A:$F, 5, FALSE)</f>
        <v>Tablet</v>
      </c>
      <c r="E143" t="str">
        <f>VLOOKUP(A143, user_table!$A:$F, 6, FALSE)</f>
        <v>Direct</v>
      </c>
      <c r="F143" s="1" t="str">
        <f>IF(ISNUMBER(MATCH(A143, search_page!$A:$A, 0)), "Yes", "No")</f>
        <v>Yes</v>
      </c>
    </row>
    <row r="144" spans="1:6">
      <c r="A144">
        <v>1143</v>
      </c>
      <c r="B144" s="2">
        <v>45315.21597222222</v>
      </c>
      <c r="C144" t="str">
        <f>VLOOKUP(A144, user_table!$A:$B, 2, FALSE)</f>
        <v>Male</v>
      </c>
      <c r="D144" t="str">
        <f>VLOOKUP(A144, user_table!$A:$F, 5, FALSE)</f>
        <v>Mobile</v>
      </c>
      <c r="E144" t="str">
        <f>VLOOKUP(A144, user_table!$A:$F, 6, FALSE)</f>
        <v>Organic</v>
      </c>
      <c r="F144" s="1" t="str">
        <f>IF(ISNUMBER(MATCH(A144, search_page!$A:$A, 0)), "Yes", "No")</f>
        <v>Yes</v>
      </c>
    </row>
    <row r="145" spans="1:6">
      <c r="A145">
        <v>1144</v>
      </c>
      <c r="B145" s="2">
        <v>45302.829861111109</v>
      </c>
      <c r="C145" t="str">
        <f>VLOOKUP(A145, user_table!$A:$B, 2, FALSE)</f>
        <v>Male</v>
      </c>
      <c r="D145" t="str">
        <f>VLOOKUP(A145, user_table!$A:$F, 5, FALSE)</f>
        <v>Tablet</v>
      </c>
      <c r="E145" t="str">
        <f>VLOOKUP(A145, user_table!$A:$F, 6, FALSE)</f>
        <v>Direct</v>
      </c>
      <c r="F145" s="1" t="str">
        <f>IF(ISNUMBER(MATCH(A145, search_page!$A:$A, 0)), "Yes", "No")</f>
        <v>Yes</v>
      </c>
    </row>
    <row r="146" spans="1:6">
      <c r="A146">
        <v>1145</v>
      </c>
      <c r="B146" s="2">
        <v>45340.821527777778</v>
      </c>
      <c r="C146" t="str">
        <f>VLOOKUP(A146, user_table!$A:$B, 2, FALSE)</f>
        <v>Male</v>
      </c>
      <c r="D146" t="str">
        <f>VLOOKUP(A146, user_table!$A:$F, 5, FALSE)</f>
        <v>Mobile</v>
      </c>
      <c r="E146" t="str">
        <f>VLOOKUP(A146, user_table!$A:$F, 6, FALSE)</f>
        <v>Paid</v>
      </c>
      <c r="F146" s="1" t="str">
        <f>IF(ISNUMBER(MATCH(A146, search_page!$A:$A, 0)), "Yes", "No")</f>
        <v>No</v>
      </c>
    </row>
    <row r="147" spans="1:6">
      <c r="A147">
        <v>1146</v>
      </c>
      <c r="B147" s="2">
        <v>45322.665277777778</v>
      </c>
      <c r="C147" t="str">
        <f>VLOOKUP(A147, user_table!$A:$B, 2, FALSE)</f>
        <v>Male</v>
      </c>
      <c r="D147" t="str">
        <f>VLOOKUP(A147, user_table!$A:$F, 5, FALSE)</f>
        <v>Desktop</v>
      </c>
      <c r="E147" t="str">
        <f>VLOOKUP(A147, user_table!$A:$F, 6, FALSE)</f>
        <v>Paid</v>
      </c>
      <c r="F147" s="1" t="str">
        <f>IF(ISNUMBER(MATCH(A147, search_page!$A:$A, 0)), "Yes", "No")</f>
        <v>No</v>
      </c>
    </row>
    <row r="148" spans="1:6">
      <c r="A148">
        <v>1147</v>
      </c>
      <c r="B148" s="2">
        <v>45366.176388888889</v>
      </c>
      <c r="C148" t="str">
        <f>VLOOKUP(A148, user_table!$A:$B, 2, FALSE)</f>
        <v>Female</v>
      </c>
      <c r="D148" t="str">
        <f>VLOOKUP(A148, user_table!$A:$F, 5, FALSE)</f>
        <v>Desktop</v>
      </c>
      <c r="E148" t="str">
        <f>VLOOKUP(A148, user_table!$A:$F, 6, FALSE)</f>
        <v>Organic</v>
      </c>
      <c r="F148" s="1" t="str">
        <f>IF(ISNUMBER(MATCH(A148, search_page!$A:$A, 0)), "Yes", "No")</f>
        <v>Yes</v>
      </c>
    </row>
    <row r="149" spans="1:6">
      <c r="A149">
        <v>1148</v>
      </c>
      <c r="B149" s="2">
        <v>45351.844444444447</v>
      </c>
      <c r="C149" t="str">
        <f>VLOOKUP(A149, user_table!$A:$B, 2, FALSE)</f>
        <v>Male</v>
      </c>
      <c r="D149" t="str">
        <f>VLOOKUP(A149, user_table!$A:$F, 5, FALSE)</f>
        <v>Mobile</v>
      </c>
      <c r="E149" t="str">
        <f>VLOOKUP(A149, user_table!$A:$F, 6, FALSE)</f>
        <v>Organic</v>
      </c>
      <c r="F149" s="1" t="str">
        <f>IF(ISNUMBER(MATCH(A149, search_page!$A:$A, 0)), "Yes", "No")</f>
        <v>No</v>
      </c>
    </row>
    <row r="150" spans="1:6">
      <c r="A150">
        <v>1149</v>
      </c>
      <c r="B150" s="2">
        <v>45350.362500000003</v>
      </c>
      <c r="C150" t="str">
        <f>VLOOKUP(A150, user_table!$A:$B, 2, FALSE)</f>
        <v>Male</v>
      </c>
      <c r="D150" t="str">
        <f>VLOOKUP(A150, user_table!$A:$F, 5, FALSE)</f>
        <v>Desktop</v>
      </c>
      <c r="E150" t="str">
        <f>VLOOKUP(A150, user_table!$A:$F, 6, FALSE)</f>
        <v>Social</v>
      </c>
      <c r="F150" s="1" t="str">
        <f>IF(ISNUMBER(MATCH(A150, search_page!$A:$A, 0)), "Yes", "No")</f>
        <v>No</v>
      </c>
    </row>
    <row r="151" spans="1:6">
      <c r="A151">
        <v>1150</v>
      </c>
      <c r="B151" s="2">
        <v>45293.622916666667</v>
      </c>
      <c r="C151" t="str">
        <f>VLOOKUP(A151, user_table!$A:$B, 2, FALSE)</f>
        <v>Male</v>
      </c>
      <c r="D151" t="str">
        <f>VLOOKUP(A151, user_table!$A:$F, 5, FALSE)</f>
        <v>Mobile</v>
      </c>
      <c r="E151" t="str">
        <f>VLOOKUP(A151, user_table!$A:$F, 6, FALSE)</f>
        <v>Paid</v>
      </c>
      <c r="F151" s="1" t="str">
        <f>IF(ISNUMBER(MATCH(A151, search_page!$A:$A, 0)), "Yes", "No")</f>
        <v>No</v>
      </c>
    </row>
    <row r="152" spans="1:6">
      <c r="A152">
        <v>1151</v>
      </c>
      <c r="B152" s="2">
        <v>45328.898611111108</v>
      </c>
      <c r="C152" t="str">
        <f>VLOOKUP(A152, user_table!$A:$B, 2, FALSE)</f>
        <v>Female</v>
      </c>
      <c r="D152" t="str">
        <f>VLOOKUP(A152, user_table!$A:$F, 5, FALSE)</f>
        <v>Mobile</v>
      </c>
      <c r="E152" t="str">
        <f>VLOOKUP(A152, user_table!$A:$F, 6, FALSE)</f>
        <v>Organic</v>
      </c>
      <c r="F152" s="1" t="str">
        <f>IF(ISNUMBER(MATCH(A152, search_page!$A:$A, 0)), "Yes", "No")</f>
        <v>No</v>
      </c>
    </row>
    <row r="153" spans="1:6">
      <c r="A153">
        <v>1152</v>
      </c>
      <c r="B153" s="2">
        <v>45312.102777777778</v>
      </c>
      <c r="C153" t="str">
        <f>VLOOKUP(A153, user_table!$A:$B, 2, FALSE)</f>
        <v>Male</v>
      </c>
      <c r="D153" t="str">
        <f>VLOOKUP(A153, user_table!$A:$F, 5, FALSE)</f>
        <v>Desktop</v>
      </c>
      <c r="E153" t="str">
        <f>VLOOKUP(A153, user_table!$A:$F, 6, FALSE)</f>
        <v>Social</v>
      </c>
      <c r="F153" s="1" t="str">
        <f>IF(ISNUMBER(MATCH(A153, search_page!$A:$A, 0)), "Yes", "No")</f>
        <v>Yes</v>
      </c>
    </row>
    <row r="154" spans="1:6">
      <c r="A154">
        <v>1153</v>
      </c>
      <c r="B154" s="2">
        <v>45336.763194444444</v>
      </c>
      <c r="C154" t="str">
        <f>VLOOKUP(A154, user_table!$A:$B, 2, FALSE)</f>
        <v>Male</v>
      </c>
      <c r="D154" t="str">
        <f>VLOOKUP(A154, user_table!$A:$F, 5, FALSE)</f>
        <v>Mobile</v>
      </c>
      <c r="E154" t="str">
        <f>VLOOKUP(A154, user_table!$A:$F, 6, FALSE)</f>
        <v>Organic</v>
      </c>
      <c r="F154" s="1" t="str">
        <f>IF(ISNUMBER(MATCH(A154, search_page!$A:$A, 0)), "Yes", "No")</f>
        <v>Yes</v>
      </c>
    </row>
    <row r="155" spans="1:6">
      <c r="A155">
        <v>1154</v>
      </c>
      <c r="B155" s="2">
        <v>45373.572222222225</v>
      </c>
      <c r="C155" t="str">
        <f>VLOOKUP(A155, user_table!$A:$B, 2, FALSE)</f>
        <v>Male</v>
      </c>
      <c r="D155" t="str">
        <f>VLOOKUP(A155, user_table!$A:$F, 5, FALSE)</f>
        <v>Mobile</v>
      </c>
      <c r="E155" t="str">
        <f>VLOOKUP(A155, user_table!$A:$F, 6, FALSE)</f>
        <v>Social</v>
      </c>
      <c r="F155" s="1" t="str">
        <f>IF(ISNUMBER(MATCH(A155, search_page!$A:$A, 0)), "Yes", "No")</f>
        <v>No</v>
      </c>
    </row>
    <row r="156" spans="1:6">
      <c r="A156">
        <v>1155</v>
      </c>
      <c r="B156" s="2">
        <v>45324.620833333334</v>
      </c>
      <c r="C156" t="str">
        <f>VLOOKUP(A156, user_table!$A:$B, 2, FALSE)</f>
        <v>Female</v>
      </c>
      <c r="D156" t="str">
        <f>VLOOKUP(A156, user_table!$A:$F, 5, FALSE)</f>
        <v>Desktop</v>
      </c>
      <c r="E156" t="str">
        <f>VLOOKUP(A156, user_table!$A:$F, 6, FALSE)</f>
        <v>Paid</v>
      </c>
      <c r="F156" s="1" t="str">
        <f>IF(ISNUMBER(MATCH(A156, search_page!$A:$A, 0)), "Yes", "No")</f>
        <v>No</v>
      </c>
    </row>
    <row r="157" spans="1:6">
      <c r="A157">
        <v>1156</v>
      </c>
      <c r="B157" s="2">
        <v>45330.26666666667</v>
      </c>
      <c r="C157" t="str">
        <f>VLOOKUP(A157, user_table!$A:$B, 2, FALSE)</f>
        <v>Male</v>
      </c>
      <c r="D157" t="str">
        <f>VLOOKUP(A157, user_table!$A:$F, 5, FALSE)</f>
        <v>Desktop</v>
      </c>
      <c r="E157" t="str">
        <f>VLOOKUP(A157, user_table!$A:$F, 6, FALSE)</f>
        <v>Email</v>
      </c>
      <c r="F157" s="1" t="str">
        <f>IF(ISNUMBER(MATCH(A157, search_page!$A:$A, 0)), "Yes", "No")</f>
        <v>No</v>
      </c>
    </row>
    <row r="158" spans="1:6">
      <c r="A158">
        <v>1157</v>
      </c>
      <c r="B158" s="2">
        <v>45353.135416666664</v>
      </c>
      <c r="C158" t="str">
        <f>VLOOKUP(A158, user_table!$A:$B, 2, FALSE)</f>
        <v>Female</v>
      </c>
      <c r="D158" t="str">
        <f>VLOOKUP(A158, user_table!$A:$F, 5, FALSE)</f>
        <v>Desktop</v>
      </c>
      <c r="E158" t="str">
        <f>VLOOKUP(A158, user_table!$A:$F, 6, FALSE)</f>
        <v>Email</v>
      </c>
      <c r="F158" s="1" t="str">
        <f>IF(ISNUMBER(MATCH(A158, search_page!$A:$A, 0)), "Yes", "No")</f>
        <v>Yes</v>
      </c>
    </row>
    <row r="159" spans="1:6">
      <c r="A159">
        <v>1158</v>
      </c>
      <c r="B159" s="2">
        <v>45340.765277777777</v>
      </c>
      <c r="C159" t="str">
        <f>VLOOKUP(A159, user_table!$A:$B, 2, FALSE)</f>
        <v>Female</v>
      </c>
      <c r="D159" t="str">
        <f>VLOOKUP(A159, user_table!$A:$F, 5, FALSE)</f>
        <v>Desktop</v>
      </c>
      <c r="E159" t="str">
        <f>VLOOKUP(A159, user_table!$A:$F, 6, FALSE)</f>
        <v>Paid</v>
      </c>
      <c r="F159" s="1" t="str">
        <f>IF(ISNUMBER(MATCH(A159, search_page!$A:$A, 0)), "Yes", "No")</f>
        <v>No</v>
      </c>
    </row>
    <row r="160" spans="1:6">
      <c r="A160">
        <v>1159</v>
      </c>
      <c r="B160" s="2">
        <v>45365.405555555553</v>
      </c>
      <c r="C160" t="str">
        <f>VLOOKUP(A160, user_table!$A:$B, 2, FALSE)</f>
        <v>Male</v>
      </c>
      <c r="D160" t="str">
        <f>VLOOKUP(A160, user_table!$A:$F, 5, FALSE)</f>
        <v>Tablet</v>
      </c>
      <c r="E160" t="str">
        <f>VLOOKUP(A160, user_table!$A:$F, 6, FALSE)</f>
        <v>Paid</v>
      </c>
      <c r="F160" s="1" t="str">
        <f>IF(ISNUMBER(MATCH(A160, search_page!$A:$A, 0)), "Yes", "No")</f>
        <v>Yes</v>
      </c>
    </row>
    <row r="161" spans="1:6">
      <c r="A161">
        <v>1160</v>
      </c>
      <c r="B161" s="2">
        <v>45329.036805555559</v>
      </c>
      <c r="C161" t="str">
        <f>VLOOKUP(A161, user_table!$A:$B, 2, FALSE)</f>
        <v>Female</v>
      </c>
      <c r="D161" t="str">
        <f>VLOOKUP(A161, user_table!$A:$F, 5, FALSE)</f>
        <v>Desktop</v>
      </c>
      <c r="E161" t="str">
        <f>VLOOKUP(A161, user_table!$A:$F, 6, FALSE)</f>
        <v>Paid</v>
      </c>
      <c r="F161" s="1" t="str">
        <f>IF(ISNUMBER(MATCH(A161, search_page!$A:$A, 0)), "Yes", "No")</f>
        <v>Yes</v>
      </c>
    </row>
    <row r="162" spans="1:6">
      <c r="A162">
        <v>1161</v>
      </c>
      <c r="B162" s="2">
        <v>45376.511805555558</v>
      </c>
      <c r="C162" t="str">
        <f>VLOOKUP(A162, user_table!$A:$B, 2, FALSE)</f>
        <v>Male</v>
      </c>
      <c r="D162" t="str">
        <f>VLOOKUP(A162, user_table!$A:$F, 5, FALSE)</f>
        <v>Mobile</v>
      </c>
      <c r="E162" t="str">
        <f>VLOOKUP(A162, user_table!$A:$F, 6, FALSE)</f>
        <v>Email</v>
      </c>
      <c r="F162" s="1" t="str">
        <f>IF(ISNUMBER(MATCH(A162, search_page!$A:$A, 0)), "Yes", "No")</f>
        <v>Yes</v>
      </c>
    </row>
    <row r="163" spans="1:6">
      <c r="A163">
        <v>1162</v>
      </c>
      <c r="B163" s="2">
        <v>45293.788194444445</v>
      </c>
      <c r="C163" t="str">
        <f>VLOOKUP(A163, user_table!$A:$B, 2, FALSE)</f>
        <v>Female</v>
      </c>
      <c r="D163" t="str">
        <f>VLOOKUP(A163, user_table!$A:$F, 5, FALSE)</f>
        <v>Desktop</v>
      </c>
      <c r="E163" t="str">
        <f>VLOOKUP(A163, user_table!$A:$F, 6, FALSE)</f>
        <v>Paid</v>
      </c>
      <c r="F163" s="1" t="str">
        <f>IF(ISNUMBER(MATCH(A163, search_page!$A:$A, 0)), "Yes", "No")</f>
        <v>Yes</v>
      </c>
    </row>
    <row r="164" spans="1:6">
      <c r="A164">
        <v>1163</v>
      </c>
      <c r="B164" s="2">
        <v>45379.960416666669</v>
      </c>
      <c r="C164" t="str">
        <f>VLOOKUP(A164, user_table!$A:$B, 2, FALSE)</f>
        <v>Female</v>
      </c>
      <c r="D164" t="str">
        <f>VLOOKUP(A164, user_table!$A:$F, 5, FALSE)</f>
        <v>Desktop</v>
      </c>
      <c r="E164" t="str">
        <f>VLOOKUP(A164, user_table!$A:$F, 6, FALSE)</f>
        <v>Organic</v>
      </c>
      <c r="F164" s="1" t="str">
        <f>IF(ISNUMBER(MATCH(A164, search_page!$A:$A, 0)), "Yes", "No")</f>
        <v>No</v>
      </c>
    </row>
    <row r="165" spans="1:6">
      <c r="A165">
        <v>1164</v>
      </c>
      <c r="B165" s="2">
        <v>45369.979861111111</v>
      </c>
      <c r="C165" t="str">
        <f>VLOOKUP(A165, user_table!$A:$B, 2, FALSE)</f>
        <v>Female</v>
      </c>
      <c r="D165" t="str">
        <f>VLOOKUP(A165, user_table!$A:$F, 5, FALSE)</f>
        <v>Mobile</v>
      </c>
      <c r="E165" t="str">
        <f>VLOOKUP(A165, user_table!$A:$F, 6, FALSE)</f>
        <v>Organic</v>
      </c>
      <c r="F165" s="1" t="str">
        <f>IF(ISNUMBER(MATCH(A165, search_page!$A:$A, 0)), "Yes", "No")</f>
        <v>Yes</v>
      </c>
    </row>
    <row r="166" spans="1:6">
      <c r="A166">
        <v>1165</v>
      </c>
      <c r="B166" s="2">
        <v>45328.318055555559</v>
      </c>
      <c r="C166" t="str">
        <f>VLOOKUP(A166, user_table!$A:$B, 2, FALSE)</f>
        <v>Male</v>
      </c>
      <c r="D166" t="str">
        <f>VLOOKUP(A166, user_table!$A:$F, 5, FALSE)</f>
        <v>Mobile</v>
      </c>
      <c r="E166" t="str">
        <f>VLOOKUP(A166, user_table!$A:$F, 6, FALSE)</f>
        <v>Paid</v>
      </c>
      <c r="F166" s="1" t="str">
        <f>IF(ISNUMBER(MATCH(A166, search_page!$A:$A, 0)), "Yes", "No")</f>
        <v>No</v>
      </c>
    </row>
    <row r="167" spans="1:6">
      <c r="A167">
        <v>1166</v>
      </c>
      <c r="B167" s="2">
        <v>45337.319444444445</v>
      </c>
      <c r="C167" t="str">
        <f>VLOOKUP(A167, user_table!$A:$B, 2, FALSE)</f>
        <v>Female</v>
      </c>
      <c r="D167" t="str">
        <f>VLOOKUP(A167, user_table!$A:$F, 5, FALSE)</f>
        <v>Desktop</v>
      </c>
      <c r="E167" t="str">
        <f>VLOOKUP(A167, user_table!$A:$F, 6, FALSE)</f>
        <v>Paid</v>
      </c>
      <c r="F167" s="1" t="str">
        <f>IF(ISNUMBER(MATCH(A167, search_page!$A:$A, 0)), "Yes", "No")</f>
        <v>Yes</v>
      </c>
    </row>
    <row r="168" spans="1:6">
      <c r="A168">
        <v>1167</v>
      </c>
      <c r="B168" s="2">
        <v>45316.802777777775</v>
      </c>
      <c r="C168" t="str">
        <f>VLOOKUP(A168, user_table!$A:$B, 2, FALSE)</f>
        <v>Male</v>
      </c>
      <c r="D168" t="str">
        <f>VLOOKUP(A168, user_table!$A:$F, 5, FALSE)</f>
        <v>Desktop</v>
      </c>
      <c r="E168" t="str">
        <f>VLOOKUP(A168, user_table!$A:$F, 6, FALSE)</f>
        <v>Email</v>
      </c>
      <c r="F168" s="1" t="str">
        <f>IF(ISNUMBER(MATCH(A168, search_page!$A:$A, 0)), "Yes", "No")</f>
        <v>Yes</v>
      </c>
    </row>
    <row r="169" spans="1:6">
      <c r="A169">
        <v>1168</v>
      </c>
      <c r="B169" s="2">
        <v>45378.992361111108</v>
      </c>
      <c r="C169" t="str">
        <f>VLOOKUP(A169, user_table!$A:$B, 2, FALSE)</f>
        <v>Male</v>
      </c>
      <c r="D169" t="str">
        <f>VLOOKUP(A169, user_table!$A:$F, 5, FALSE)</f>
        <v>Desktop</v>
      </c>
      <c r="E169" t="str">
        <f>VLOOKUP(A169, user_table!$A:$F, 6, FALSE)</f>
        <v>Organic</v>
      </c>
      <c r="F169" s="1" t="str">
        <f>IF(ISNUMBER(MATCH(A169, search_page!$A:$A, 0)), "Yes", "No")</f>
        <v>Yes</v>
      </c>
    </row>
    <row r="170" spans="1:6">
      <c r="A170">
        <v>1169</v>
      </c>
      <c r="B170" s="2">
        <v>45376.911805555559</v>
      </c>
      <c r="C170" t="str">
        <f>VLOOKUP(A170, user_table!$A:$B, 2, FALSE)</f>
        <v>Male</v>
      </c>
      <c r="D170" t="str">
        <f>VLOOKUP(A170, user_table!$A:$F, 5, FALSE)</f>
        <v>Desktop</v>
      </c>
      <c r="E170" t="str">
        <f>VLOOKUP(A170, user_table!$A:$F, 6, FALSE)</f>
        <v>Paid</v>
      </c>
      <c r="F170" s="1" t="str">
        <f>IF(ISNUMBER(MATCH(A170, search_page!$A:$A, 0)), "Yes", "No")</f>
        <v>Yes</v>
      </c>
    </row>
    <row r="171" spans="1:6">
      <c r="A171">
        <v>1170</v>
      </c>
      <c r="B171" s="2">
        <v>45309.837500000001</v>
      </c>
      <c r="C171" t="str">
        <f>VLOOKUP(A171, user_table!$A:$B, 2, FALSE)</f>
        <v>Female</v>
      </c>
      <c r="D171" t="str">
        <f>VLOOKUP(A171, user_table!$A:$F, 5, FALSE)</f>
        <v>Mobile</v>
      </c>
      <c r="E171" t="str">
        <f>VLOOKUP(A171, user_table!$A:$F, 6, FALSE)</f>
        <v>Email</v>
      </c>
      <c r="F171" s="1" t="str">
        <f>IF(ISNUMBER(MATCH(A171, search_page!$A:$A, 0)), "Yes", "No")</f>
        <v>Yes</v>
      </c>
    </row>
    <row r="172" spans="1:6">
      <c r="A172">
        <v>1171</v>
      </c>
      <c r="B172" s="2">
        <v>45372.834722222222</v>
      </c>
      <c r="C172" t="str">
        <f>VLOOKUP(A172, user_table!$A:$B, 2, FALSE)</f>
        <v>Female</v>
      </c>
      <c r="D172" t="str">
        <f>VLOOKUP(A172, user_table!$A:$F, 5, FALSE)</f>
        <v>Desktop</v>
      </c>
      <c r="E172" t="str">
        <f>VLOOKUP(A172, user_table!$A:$F, 6, FALSE)</f>
        <v>Email</v>
      </c>
      <c r="F172" s="1" t="str">
        <f>IF(ISNUMBER(MATCH(A172, search_page!$A:$A, 0)), "Yes", "No")</f>
        <v>Yes</v>
      </c>
    </row>
    <row r="173" spans="1:6">
      <c r="A173">
        <v>1172</v>
      </c>
      <c r="B173" s="2">
        <v>45331.584722222222</v>
      </c>
      <c r="C173" t="str">
        <f>VLOOKUP(A173, user_table!$A:$B, 2, FALSE)</f>
        <v>Male</v>
      </c>
      <c r="D173" t="str">
        <f>VLOOKUP(A173, user_table!$A:$F, 5, FALSE)</f>
        <v>Desktop</v>
      </c>
      <c r="E173" t="str">
        <f>VLOOKUP(A173, user_table!$A:$F, 6, FALSE)</f>
        <v>Paid</v>
      </c>
      <c r="F173" s="1" t="str">
        <f>IF(ISNUMBER(MATCH(A173, search_page!$A:$A, 0)), "Yes", "No")</f>
        <v>No</v>
      </c>
    </row>
    <row r="174" spans="1:6">
      <c r="A174">
        <v>1173</v>
      </c>
      <c r="B174" s="2">
        <v>45366.490277777775</v>
      </c>
      <c r="C174" t="str">
        <f>VLOOKUP(A174, user_table!$A:$B, 2, FALSE)</f>
        <v>Male</v>
      </c>
      <c r="D174" t="str">
        <f>VLOOKUP(A174, user_table!$A:$F, 5, FALSE)</f>
        <v>Desktop</v>
      </c>
      <c r="E174" t="str">
        <f>VLOOKUP(A174, user_table!$A:$F, 6, FALSE)</f>
        <v>Paid</v>
      </c>
      <c r="F174" s="1" t="str">
        <f>IF(ISNUMBER(MATCH(A174, search_page!$A:$A, 0)), "Yes", "No")</f>
        <v>No</v>
      </c>
    </row>
    <row r="175" spans="1:6">
      <c r="A175">
        <v>1174</v>
      </c>
      <c r="B175" s="2">
        <v>45308.123611111114</v>
      </c>
      <c r="C175" t="str">
        <f>VLOOKUP(A175, user_table!$A:$B, 2, FALSE)</f>
        <v>Male</v>
      </c>
      <c r="D175" t="str">
        <f>VLOOKUP(A175, user_table!$A:$F, 5, FALSE)</f>
        <v>Tablet</v>
      </c>
      <c r="E175" t="str">
        <f>VLOOKUP(A175, user_table!$A:$F, 6, FALSE)</f>
        <v>Paid</v>
      </c>
      <c r="F175" s="1" t="str">
        <f>IF(ISNUMBER(MATCH(A175, search_page!$A:$A, 0)), "Yes", "No")</f>
        <v>No</v>
      </c>
    </row>
    <row r="176" spans="1:6">
      <c r="A176">
        <v>1175</v>
      </c>
      <c r="B176" s="2">
        <v>45329.449305555558</v>
      </c>
      <c r="C176" t="str">
        <f>VLOOKUP(A176, user_table!$A:$B, 2, FALSE)</f>
        <v>Female</v>
      </c>
      <c r="D176" t="str">
        <f>VLOOKUP(A176, user_table!$A:$F, 5, FALSE)</f>
        <v>Tablet</v>
      </c>
      <c r="E176" t="str">
        <f>VLOOKUP(A176, user_table!$A:$F, 6, FALSE)</f>
        <v>Direct</v>
      </c>
      <c r="F176" s="1" t="str">
        <f>IF(ISNUMBER(MATCH(A176, search_page!$A:$A, 0)), "Yes", "No")</f>
        <v>No</v>
      </c>
    </row>
    <row r="177" spans="1:6">
      <c r="A177">
        <v>1176</v>
      </c>
      <c r="B177" s="2">
        <v>45345.216666666667</v>
      </c>
      <c r="C177" t="str">
        <f>VLOOKUP(A177, user_table!$A:$B, 2, FALSE)</f>
        <v>Male</v>
      </c>
      <c r="D177" t="str">
        <f>VLOOKUP(A177, user_table!$A:$F, 5, FALSE)</f>
        <v>Desktop</v>
      </c>
      <c r="E177" t="str">
        <f>VLOOKUP(A177, user_table!$A:$F, 6, FALSE)</f>
        <v>Organic</v>
      </c>
      <c r="F177" s="1" t="str">
        <f>IF(ISNUMBER(MATCH(A177, search_page!$A:$A, 0)), "Yes", "No")</f>
        <v>Yes</v>
      </c>
    </row>
    <row r="178" spans="1:6">
      <c r="A178">
        <v>1177</v>
      </c>
      <c r="B178" s="2">
        <v>45308.74722222222</v>
      </c>
      <c r="C178" t="str">
        <f>VLOOKUP(A178, user_table!$A:$B, 2, FALSE)</f>
        <v>Female</v>
      </c>
      <c r="D178" t="str">
        <f>VLOOKUP(A178, user_table!$A:$F, 5, FALSE)</f>
        <v>Mobile</v>
      </c>
      <c r="E178" t="str">
        <f>VLOOKUP(A178, user_table!$A:$F, 6, FALSE)</f>
        <v>Direct</v>
      </c>
      <c r="F178" s="1" t="str">
        <f>IF(ISNUMBER(MATCH(A178, search_page!$A:$A, 0)), "Yes", "No")</f>
        <v>Yes</v>
      </c>
    </row>
    <row r="179" spans="1:6">
      <c r="A179">
        <v>1178</v>
      </c>
      <c r="B179" s="2">
        <v>45338.688888888886</v>
      </c>
      <c r="C179" t="str">
        <f>VLOOKUP(A179, user_table!$A:$B, 2, FALSE)</f>
        <v>Male</v>
      </c>
      <c r="D179" t="str">
        <f>VLOOKUP(A179, user_table!$A:$F, 5, FALSE)</f>
        <v>Desktop</v>
      </c>
      <c r="E179" t="str">
        <f>VLOOKUP(A179, user_table!$A:$F, 6, FALSE)</f>
        <v>Social</v>
      </c>
      <c r="F179" s="1" t="str">
        <f>IF(ISNUMBER(MATCH(A179, search_page!$A:$A, 0)), "Yes", "No")</f>
        <v>No</v>
      </c>
    </row>
    <row r="180" spans="1:6">
      <c r="A180">
        <v>1179</v>
      </c>
      <c r="B180" s="2">
        <v>45326.219444444447</v>
      </c>
      <c r="C180" t="str">
        <f>VLOOKUP(A180, user_table!$A:$B, 2, FALSE)</f>
        <v>Female</v>
      </c>
      <c r="D180" t="str">
        <f>VLOOKUP(A180, user_table!$A:$F, 5, FALSE)</f>
        <v>Desktop</v>
      </c>
      <c r="E180" t="str">
        <f>VLOOKUP(A180, user_table!$A:$F, 6, FALSE)</f>
        <v>Paid</v>
      </c>
      <c r="F180" s="1" t="str">
        <f>IF(ISNUMBER(MATCH(A180, search_page!$A:$A, 0)), "Yes", "No")</f>
        <v>No</v>
      </c>
    </row>
    <row r="181" spans="1:6">
      <c r="A181">
        <v>1180</v>
      </c>
      <c r="B181" s="2">
        <v>45353.407638888886</v>
      </c>
      <c r="C181" t="str">
        <f>VLOOKUP(A181, user_table!$A:$B, 2, FALSE)</f>
        <v>Male</v>
      </c>
      <c r="D181" t="str">
        <f>VLOOKUP(A181, user_table!$A:$F, 5, FALSE)</f>
        <v>Mobile</v>
      </c>
      <c r="E181" t="str">
        <f>VLOOKUP(A181, user_table!$A:$F, 6, FALSE)</f>
        <v>Organic</v>
      </c>
      <c r="F181" s="1" t="str">
        <f>IF(ISNUMBER(MATCH(A181, search_page!$A:$A, 0)), "Yes", "No")</f>
        <v>Yes</v>
      </c>
    </row>
    <row r="182" spans="1:6">
      <c r="A182">
        <v>1181</v>
      </c>
      <c r="B182" s="2">
        <v>45335.145138888889</v>
      </c>
      <c r="C182" t="str">
        <f>VLOOKUP(A182, user_table!$A:$B, 2, FALSE)</f>
        <v>Male</v>
      </c>
      <c r="D182" t="str">
        <f>VLOOKUP(A182, user_table!$A:$F, 5, FALSE)</f>
        <v>Tablet</v>
      </c>
      <c r="E182" t="str">
        <f>VLOOKUP(A182, user_table!$A:$F, 6, FALSE)</f>
        <v>Paid</v>
      </c>
      <c r="F182" s="1" t="str">
        <f>IF(ISNUMBER(MATCH(A182, search_page!$A:$A, 0)), "Yes", "No")</f>
        <v>No</v>
      </c>
    </row>
    <row r="183" spans="1:6">
      <c r="A183">
        <v>1182</v>
      </c>
      <c r="B183" s="2">
        <v>45301.2</v>
      </c>
      <c r="C183" t="str">
        <f>VLOOKUP(A183, user_table!$A:$B, 2, FALSE)</f>
        <v>Male</v>
      </c>
      <c r="D183" t="str">
        <f>VLOOKUP(A183, user_table!$A:$F, 5, FALSE)</f>
        <v>Tablet</v>
      </c>
      <c r="E183" t="str">
        <f>VLOOKUP(A183, user_table!$A:$F, 6, FALSE)</f>
        <v>Paid</v>
      </c>
      <c r="F183" s="1" t="str">
        <f>IF(ISNUMBER(MATCH(A183, search_page!$A:$A, 0)), "Yes", "No")</f>
        <v>Yes</v>
      </c>
    </row>
    <row r="184" spans="1:6">
      <c r="A184">
        <v>1183</v>
      </c>
      <c r="B184" s="2">
        <v>45320.906944444447</v>
      </c>
      <c r="C184" t="str">
        <f>VLOOKUP(A184, user_table!$A:$B, 2, FALSE)</f>
        <v>Female</v>
      </c>
      <c r="D184" t="str">
        <f>VLOOKUP(A184, user_table!$A:$F, 5, FALSE)</f>
        <v>Mobile</v>
      </c>
      <c r="E184" t="str">
        <f>VLOOKUP(A184, user_table!$A:$F, 6, FALSE)</f>
        <v>Organic</v>
      </c>
      <c r="F184" s="1" t="str">
        <f>IF(ISNUMBER(MATCH(A184, search_page!$A:$A, 0)), "Yes", "No")</f>
        <v>Yes</v>
      </c>
    </row>
    <row r="185" spans="1:6">
      <c r="A185">
        <v>1184</v>
      </c>
      <c r="B185" s="2">
        <v>45378.537499999999</v>
      </c>
      <c r="C185" t="str">
        <f>VLOOKUP(A185, user_table!$A:$B, 2, FALSE)</f>
        <v>Female</v>
      </c>
      <c r="D185" t="str">
        <f>VLOOKUP(A185, user_table!$A:$F, 5, FALSE)</f>
        <v>Desktop</v>
      </c>
      <c r="E185" t="str">
        <f>VLOOKUP(A185, user_table!$A:$F, 6, FALSE)</f>
        <v>Social</v>
      </c>
      <c r="F185" s="1" t="str">
        <f>IF(ISNUMBER(MATCH(A185, search_page!$A:$A, 0)), "Yes", "No")</f>
        <v>Yes</v>
      </c>
    </row>
    <row r="186" spans="1:6">
      <c r="A186">
        <v>1185</v>
      </c>
      <c r="B186" s="2">
        <v>45363.461805555555</v>
      </c>
      <c r="C186" t="str">
        <f>VLOOKUP(A186, user_table!$A:$B, 2, FALSE)</f>
        <v>Male</v>
      </c>
      <c r="D186" t="str">
        <f>VLOOKUP(A186, user_table!$A:$F, 5, FALSE)</f>
        <v>Mobile</v>
      </c>
      <c r="E186" t="str">
        <f>VLOOKUP(A186, user_table!$A:$F, 6, FALSE)</f>
        <v>Direct</v>
      </c>
      <c r="F186" s="1" t="str">
        <f>IF(ISNUMBER(MATCH(A186, search_page!$A:$A, 0)), "Yes", "No")</f>
        <v>No</v>
      </c>
    </row>
    <row r="187" spans="1:6">
      <c r="A187">
        <v>1186</v>
      </c>
      <c r="B187" s="2">
        <v>45342.011111111111</v>
      </c>
      <c r="C187" t="str">
        <f>VLOOKUP(A187, user_table!$A:$B, 2, FALSE)</f>
        <v>Female</v>
      </c>
      <c r="D187" t="str">
        <f>VLOOKUP(A187, user_table!$A:$F, 5, FALSE)</f>
        <v>Desktop</v>
      </c>
      <c r="E187" t="str">
        <f>VLOOKUP(A187, user_table!$A:$F, 6, FALSE)</f>
        <v>Social</v>
      </c>
      <c r="F187" s="1" t="str">
        <f>IF(ISNUMBER(MATCH(A187, search_page!$A:$A, 0)), "Yes", "No")</f>
        <v>No</v>
      </c>
    </row>
    <row r="188" spans="1:6">
      <c r="A188">
        <v>1187</v>
      </c>
      <c r="B188" s="2">
        <v>45360.145138888889</v>
      </c>
      <c r="C188" t="str">
        <f>VLOOKUP(A188, user_table!$A:$B, 2, FALSE)</f>
        <v>Female</v>
      </c>
      <c r="D188" t="str">
        <f>VLOOKUP(A188, user_table!$A:$F, 5, FALSE)</f>
        <v>Mobile</v>
      </c>
      <c r="E188" t="str">
        <f>VLOOKUP(A188, user_table!$A:$F, 6, FALSE)</f>
        <v>Social</v>
      </c>
      <c r="F188" s="1" t="str">
        <f>IF(ISNUMBER(MATCH(A188, search_page!$A:$A, 0)), "Yes", "No")</f>
        <v>No</v>
      </c>
    </row>
    <row r="189" spans="1:6">
      <c r="A189">
        <v>1188</v>
      </c>
      <c r="B189" s="2">
        <v>45339.907638888886</v>
      </c>
      <c r="C189" t="str">
        <f>VLOOKUP(A189, user_table!$A:$B, 2, FALSE)</f>
        <v>Female</v>
      </c>
      <c r="D189" t="str">
        <f>VLOOKUP(A189, user_table!$A:$F, 5, FALSE)</f>
        <v>Desktop</v>
      </c>
      <c r="E189" t="str">
        <f>VLOOKUP(A189, user_table!$A:$F, 6, FALSE)</f>
        <v>Organic</v>
      </c>
      <c r="F189" s="1" t="str">
        <f>IF(ISNUMBER(MATCH(A189, search_page!$A:$A, 0)), "Yes", "No")</f>
        <v>Yes</v>
      </c>
    </row>
    <row r="190" spans="1:6">
      <c r="A190">
        <v>1189</v>
      </c>
      <c r="B190" s="2">
        <v>45378.359027777777</v>
      </c>
      <c r="C190" t="str">
        <f>VLOOKUP(A190, user_table!$A:$B, 2, FALSE)</f>
        <v>Female</v>
      </c>
      <c r="D190" t="str">
        <f>VLOOKUP(A190, user_table!$A:$F, 5, FALSE)</f>
        <v>Mobile</v>
      </c>
      <c r="E190" t="str">
        <f>VLOOKUP(A190, user_table!$A:$F, 6, FALSE)</f>
        <v>Paid</v>
      </c>
      <c r="F190" s="1" t="str">
        <f>IF(ISNUMBER(MATCH(A190, search_page!$A:$A, 0)), "Yes", "No")</f>
        <v>No</v>
      </c>
    </row>
    <row r="191" spans="1:6">
      <c r="A191">
        <v>1190</v>
      </c>
      <c r="B191" s="2">
        <v>45340.849305555559</v>
      </c>
      <c r="C191" t="str">
        <f>VLOOKUP(A191, user_table!$A:$B, 2, FALSE)</f>
        <v>Male</v>
      </c>
      <c r="D191" t="str">
        <f>VLOOKUP(A191, user_table!$A:$F, 5, FALSE)</f>
        <v>Desktop</v>
      </c>
      <c r="E191" t="str">
        <f>VLOOKUP(A191, user_table!$A:$F, 6, FALSE)</f>
        <v>Organic</v>
      </c>
      <c r="F191" s="1" t="str">
        <f>IF(ISNUMBER(MATCH(A191, search_page!$A:$A, 0)), "Yes", "No")</f>
        <v>No</v>
      </c>
    </row>
    <row r="192" spans="1:6">
      <c r="A192">
        <v>1191</v>
      </c>
      <c r="B192" s="2">
        <v>45305.884722222225</v>
      </c>
      <c r="C192" t="str">
        <f>VLOOKUP(A192, user_table!$A:$B, 2, FALSE)</f>
        <v>Male</v>
      </c>
      <c r="D192" t="str">
        <f>VLOOKUP(A192, user_table!$A:$F, 5, FALSE)</f>
        <v>Desktop</v>
      </c>
      <c r="E192" t="str">
        <f>VLOOKUP(A192, user_table!$A:$F, 6, FALSE)</f>
        <v>Social</v>
      </c>
      <c r="F192" s="1" t="str">
        <f>IF(ISNUMBER(MATCH(A192, search_page!$A:$A, 0)), "Yes", "No")</f>
        <v>Yes</v>
      </c>
    </row>
    <row r="193" spans="1:6">
      <c r="A193">
        <v>1192</v>
      </c>
      <c r="B193" s="2">
        <v>45352.027083333334</v>
      </c>
      <c r="C193" t="str">
        <f>VLOOKUP(A193, user_table!$A:$B, 2, FALSE)</f>
        <v>Female</v>
      </c>
      <c r="D193" t="str">
        <f>VLOOKUP(A193, user_table!$A:$F, 5, FALSE)</f>
        <v>Tablet</v>
      </c>
      <c r="E193" t="str">
        <f>VLOOKUP(A193, user_table!$A:$F, 6, FALSE)</f>
        <v>Direct</v>
      </c>
      <c r="F193" s="1" t="str">
        <f>IF(ISNUMBER(MATCH(A193, search_page!$A:$A, 0)), "Yes", "No")</f>
        <v>No</v>
      </c>
    </row>
    <row r="194" spans="1:6">
      <c r="A194">
        <v>1193</v>
      </c>
      <c r="B194" s="2">
        <v>45363.456944444442</v>
      </c>
      <c r="C194" t="str">
        <f>VLOOKUP(A194, user_table!$A:$B, 2, FALSE)</f>
        <v>Female</v>
      </c>
      <c r="D194" t="str">
        <f>VLOOKUP(A194, user_table!$A:$F, 5, FALSE)</f>
        <v>Desktop</v>
      </c>
      <c r="E194" t="str">
        <f>VLOOKUP(A194, user_table!$A:$F, 6, FALSE)</f>
        <v>Social</v>
      </c>
      <c r="F194" s="1" t="str">
        <f>IF(ISNUMBER(MATCH(A194, search_page!$A:$A, 0)), "Yes", "No")</f>
        <v>No</v>
      </c>
    </row>
    <row r="195" spans="1:6">
      <c r="A195">
        <v>1194</v>
      </c>
      <c r="B195" s="2">
        <v>45370.320138888892</v>
      </c>
      <c r="C195" t="str">
        <f>VLOOKUP(A195, user_table!$A:$B, 2, FALSE)</f>
        <v>Female</v>
      </c>
      <c r="D195" t="str">
        <f>VLOOKUP(A195, user_table!$A:$F, 5, FALSE)</f>
        <v>Mobile</v>
      </c>
      <c r="E195" t="str">
        <f>VLOOKUP(A195, user_table!$A:$F, 6, FALSE)</f>
        <v>Organic</v>
      </c>
      <c r="F195" s="1" t="str">
        <f>IF(ISNUMBER(MATCH(A195, search_page!$A:$A, 0)), "Yes", "No")</f>
        <v>No</v>
      </c>
    </row>
    <row r="196" spans="1:6">
      <c r="A196">
        <v>1195</v>
      </c>
      <c r="B196" s="2">
        <v>45300.869444444441</v>
      </c>
      <c r="C196" t="str">
        <f>VLOOKUP(A196, user_table!$A:$B, 2, FALSE)</f>
        <v>Male</v>
      </c>
      <c r="D196" t="str">
        <f>VLOOKUP(A196, user_table!$A:$F, 5, FALSE)</f>
        <v>Desktop</v>
      </c>
      <c r="E196" t="str">
        <f>VLOOKUP(A196, user_table!$A:$F, 6, FALSE)</f>
        <v>Paid</v>
      </c>
      <c r="F196" s="1" t="str">
        <f>IF(ISNUMBER(MATCH(A196, search_page!$A:$A, 0)), "Yes", "No")</f>
        <v>Yes</v>
      </c>
    </row>
    <row r="197" spans="1:6">
      <c r="A197">
        <v>1196</v>
      </c>
      <c r="B197" s="2">
        <v>45351.929861111108</v>
      </c>
      <c r="C197" t="str">
        <f>VLOOKUP(A197, user_table!$A:$B, 2, FALSE)</f>
        <v>Male</v>
      </c>
      <c r="D197" t="str">
        <f>VLOOKUP(A197, user_table!$A:$F, 5, FALSE)</f>
        <v>Desktop</v>
      </c>
      <c r="E197" t="str">
        <f>VLOOKUP(A197, user_table!$A:$F, 6, FALSE)</f>
        <v>Social</v>
      </c>
      <c r="F197" s="1" t="str">
        <f>IF(ISNUMBER(MATCH(A197, search_page!$A:$A, 0)), "Yes", "No")</f>
        <v>No</v>
      </c>
    </row>
    <row r="198" spans="1:6">
      <c r="A198">
        <v>1197</v>
      </c>
      <c r="B198" s="2">
        <v>45375.546527777777</v>
      </c>
      <c r="C198" t="str">
        <f>VLOOKUP(A198, user_table!$A:$B, 2, FALSE)</f>
        <v>Female</v>
      </c>
      <c r="D198" t="str">
        <f>VLOOKUP(A198, user_table!$A:$F, 5, FALSE)</f>
        <v>Desktop</v>
      </c>
      <c r="E198" t="str">
        <f>VLOOKUP(A198, user_table!$A:$F, 6, FALSE)</f>
        <v>Paid</v>
      </c>
      <c r="F198" s="1" t="str">
        <f>IF(ISNUMBER(MATCH(A198, search_page!$A:$A, 0)), "Yes", "No")</f>
        <v>Yes</v>
      </c>
    </row>
    <row r="199" spans="1:6">
      <c r="A199">
        <v>1198</v>
      </c>
      <c r="B199" s="2">
        <v>45309.043055555558</v>
      </c>
      <c r="C199" t="str">
        <f>VLOOKUP(A199, user_table!$A:$B, 2, FALSE)</f>
        <v>Female</v>
      </c>
      <c r="D199" t="str">
        <f>VLOOKUP(A199, user_table!$A:$F, 5, FALSE)</f>
        <v>Desktop</v>
      </c>
      <c r="E199" t="str">
        <f>VLOOKUP(A199, user_table!$A:$F, 6, FALSE)</f>
        <v>Email</v>
      </c>
      <c r="F199" s="1" t="str">
        <f>IF(ISNUMBER(MATCH(A199, search_page!$A:$A, 0)), "Yes", "No")</f>
        <v>Yes</v>
      </c>
    </row>
    <row r="200" spans="1:6">
      <c r="A200">
        <v>1199</v>
      </c>
      <c r="B200" s="2">
        <v>45330.629861111112</v>
      </c>
      <c r="C200" t="str">
        <f>VLOOKUP(A200, user_table!$A:$B, 2, FALSE)</f>
        <v>Female</v>
      </c>
      <c r="D200" t="str">
        <f>VLOOKUP(A200, user_table!$A:$F, 5, FALSE)</f>
        <v>Tablet</v>
      </c>
      <c r="E200" t="str">
        <f>VLOOKUP(A200, user_table!$A:$F, 6, FALSE)</f>
        <v>Email</v>
      </c>
      <c r="F200" s="1" t="str">
        <f>IF(ISNUMBER(MATCH(A200, search_page!$A:$A, 0)), "Yes", "No")</f>
        <v>No</v>
      </c>
    </row>
    <row r="201" spans="1:6">
      <c r="A201">
        <v>1200</v>
      </c>
      <c r="B201" s="2">
        <v>45304.330555555556</v>
      </c>
      <c r="C201" t="str">
        <f>VLOOKUP(A201, user_table!$A:$B, 2, FALSE)</f>
        <v>Female</v>
      </c>
      <c r="D201" t="str">
        <f>VLOOKUP(A201, user_table!$A:$F, 5, FALSE)</f>
        <v>Desktop</v>
      </c>
      <c r="E201" t="str">
        <f>VLOOKUP(A201, user_table!$A:$F, 6, FALSE)</f>
        <v>Social</v>
      </c>
      <c r="F201" s="1" t="str">
        <f>IF(ISNUMBER(MATCH(A201, search_page!$A:$A, 0)), "Yes", "No")</f>
        <v>No</v>
      </c>
    </row>
    <row r="202" spans="1:6">
      <c r="A202">
        <v>1201</v>
      </c>
      <c r="B202" s="2">
        <v>45360.183333333334</v>
      </c>
      <c r="C202" t="str">
        <f>VLOOKUP(A202, user_table!$A:$B, 2, FALSE)</f>
        <v>Female</v>
      </c>
      <c r="D202" t="str">
        <f>VLOOKUP(A202, user_table!$A:$F, 5, FALSE)</f>
        <v>Tablet</v>
      </c>
      <c r="E202" t="str">
        <f>VLOOKUP(A202, user_table!$A:$F, 6, FALSE)</f>
        <v>Paid</v>
      </c>
      <c r="F202" s="1" t="str">
        <f>IF(ISNUMBER(MATCH(A202, search_page!$A:$A, 0)), "Yes", "No")</f>
        <v>No</v>
      </c>
    </row>
    <row r="203" spans="1:6">
      <c r="A203">
        <v>1202</v>
      </c>
      <c r="B203" s="2">
        <v>45350.487500000003</v>
      </c>
      <c r="C203" t="str">
        <f>VLOOKUP(A203, user_table!$A:$B, 2, FALSE)</f>
        <v>Male</v>
      </c>
      <c r="D203" t="str">
        <f>VLOOKUP(A203, user_table!$A:$F, 5, FALSE)</f>
        <v>Mobile</v>
      </c>
      <c r="E203" t="str">
        <f>VLOOKUP(A203, user_table!$A:$F, 6, FALSE)</f>
        <v>Organic</v>
      </c>
      <c r="F203" s="1" t="str">
        <f>IF(ISNUMBER(MATCH(A203, search_page!$A:$A, 0)), "Yes", "No")</f>
        <v>No</v>
      </c>
    </row>
    <row r="204" spans="1:6">
      <c r="A204">
        <v>1203</v>
      </c>
      <c r="B204" s="2">
        <v>45381.726388888892</v>
      </c>
      <c r="C204" t="str">
        <f>VLOOKUP(A204, user_table!$A:$B, 2, FALSE)</f>
        <v>Male</v>
      </c>
      <c r="D204" t="str">
        <f>VLOOKUP(A204, user_table!$A:$F, 5, FALSE)</f>
        <v>Desktop</v>
      </c>
      <c r="E204" t="str">
        <f>VLOOKUP(A204, user_table!$A:$F, 6, FALSE)</f>
        <v>Organic</v>
      </c>
      <c r="F204" s="1" t="str">
        <f>IF(ISNUMBER(MATCH(A204, search_page!$A:$A, 0)), "Yes", "No")</f>
        <v>No</v>
      </c>
    </row>
    <row r="205" spans="1:6">
      <c r="A205">
        <v>1204</v>
      </c>
      <c r="B205" s="2">
        <v>45367.990277777775</v>
      </c>
      <c r="C205" t="str">
        <f>VLOOKUP(A205, user_table!$A:$B, 2, FALSE)</f>
        <v>Female</v>
      </c>
      <c r="D205" t="str">
        <f>VLOOKUP(A205, user_table!$A:$F, 5, FALSE)</f>
        <v>Mobile</v>
      </c>
      <c r="E205" t="str">
        <f>VLOOKUP(A205, user_table!$A:$F, 6, FALSE)</f>
        <v>Paid</v>
      </c>
      <c r="F205" s="1" t="str">
        <f>IF(ISNUMBER(MATCH(A205, search_page!$A:$A, 0)), "Yes", "No")</f>
        <v>Yes</v>
      </c>
    </row>
    <row r="206" spans="1:6">
      <c r="A206">
        <v>1205</v>
      </c>
      <c r="B206" s="2">
        <v>45311.570138888892</v>
      </c>
      <c r="C206" t="str">
        <f>VLOOKUP(A206, user_table!$A:$B, 2, FALSE)</f>
        <v>Female</v>
      </c>
      <c r="D206" t="str">
        <f>VLOOKUP(A206, user_table!$A:$F, 5, FALSE)</f>
        <v>Mobile</v>
      </c>
      <c r="E206" t="str">
        <f>VLOOKUP(A206, user_table!$A:$F, 6, FALSE)</f>
        <v>Paid</v>
      </c>
      <c r="F206" s="1" t="str">
        <f>IF(ISNUMBER(MATCH(A206, search_page!$A:$A, 0)), "Yes", "No")</f>
        <v>Yes</v>
      </c>
    </row>
    <row r="207" spans="1:6">
      <c r="A207">
        <v>1206</v>
      </c>
      <c r="B207" s="2">
        <v>45304.652083333334</v>
      </c>
      <c r="C207" t="str">
        <f>VLOOKUP(A207, user_table!$A:$B, 2, FALSE)</f>
        <v>Male</v>
      </c>
      <c r="D207" t="str">
        <f>VLOOKUP(A207, user_table!$A:$F, 5, FALSE)</f>
        <v>Mobile</v>
      </c>
      <c r="E207" t="str">
        <f>VLOOKUP(A207, user_table!$A:$F, 6, FALSE)</f>
        <v>Social</v>
      </c>
      <c r="F207" s="1" t="str">
        <f>IF(ISNUMBER(MATCH(A207, search_page!$A:$A, 0)), "Yes", "No")</f>
        <v>Yes</v>
      </c>
    </row>
    <row r="208" spans="1:6">
      <c r="A208">
        <v>1207</v>
      </c>
      <c r="B208" s="2">
        <v>45344.334722222222</v>
      </c>
      <c r="C208" t="str">
        <f>VLOOKUP(A208, user_table!$A:$B, 2, FALSE)</f>
        <v>Male</v>
      </c>
      <c r="D208" t="str">
        <f>VLOOKUP(A208, user_table!$A:$F, 5, FALSE)</f>
        <v>Desktop</v>
      </c>
      <c r="E208" t="str">
        <f>VLOOKUP(A208, user_table!$A:$F, 6, FALSE)</f>
        <v>Social</v>
      </c>
      <c r="F208" s="1" t="str">
        <f>IF(ISNUMBER(MATCH(A208, search_page!$A:$A, 0)), "Yes", "No")</f>
        <v>No</v>
      </c>
    </row>
    <row r="209" spans="1:6">
      <c r="A209">
        <v>1208</v>
      </c>
      <c r="B209" s="2">
        <v>45380.467361111114</v>
      </c>
      <c r="C209" t="str">
        <f>VLOOKUP(A209, user_table!$A:$B, 2, FALSE)</f>
        <v>Female</v>
      </c>
      <c r="D209" t="str">
        <f>VLOOKUP(A209, user_table!$A:$F, 5, FALSE)</f>
        <v>Desktop</v>
      </c>
      <c r="E209" t="str">
        <f>VLOOKUP(A209, user_table!$A:$F, 6, FALSE)</f>
        <v>Organic</v>
      </c>
      <c r="F209" s="1" t="str">
        <f>IF(ISNUMBER(MATCH(A209, search_page!$A:$A, 0)), "Yes", "No")</f>
        <v>No</v>
      </c>
    </row>
    <row r="210" spans="1:6">
      <c r="A210">
        <v>1209</v>
      </c>
      <c r="B210" s="2">
        <v>45348.59375</v>
      </c>
      <c r="C210" t="str">
        <f>VLOOKUP(A210, user_table!$A:$B, 2, FALSE)</f>
        <v>Male</v>
      </c>
      <c r="D210" t="str">
        <f>VLOOKUP(A210, user_table!$A:$F, 5, FALSE)</f>
        <v>Tablet</v>
      </c>
      <c r="E210" t="str">
        <f>VLOOKUP(A210, user_table!$A:$F, 6, FALSE)</f>
        <v>Paid</v>
      </c>
      <c r="F210" s="1" t="str">
        <f>IF(ISNUMBER(MATCH(A210, search_page!$A:$A, 0)), "Yes", "No")</f>
        <v>Yes</v>
      </c>
    </row>
    <row r="211" spans="1:6">
      <c r="A211">
        <v>1210</v>
      </c>
      <c r="B211" s="2">
        <v>45338.154861111114</v>
      </c>
      <c r="C211" t="str">
        <f>VLOOKUP(A211, user_table!$A:$B, 2, FALSE)</f>
        <v>Male</v>
      </c>
      <c r="D211" t="str">
        <f>VLOOKUP(A211, user_table!$A:$F, 5, FALSE)</f>
        <v>Tablet</v>
      </c>
      <c r="E211" t="str">
        <f>VLOOKUP(A211, user_table!$A:$F, 6, FALSE)</f>
        <v>Organic</v>
      </c>
      <c r="F211" s="1" t="str">
        <f>IF(ISNUMBER(MATCH(A211, search_page!$A:$A, 0)), "Yes", "No")</f>
        <v>Yes</v>
      </c>
    </row>
    <row r="212" spans="1:6">
      <c r="A212">
        <v>1211</v>
      </c>
      <c r="B212" s="2">
        <v>45339.747916666667</v>
      </c>
      <c r="C212" t="str">
        <f>VLOOKUP(A212, user_table!$A:$B, 2, FALSE)</f>
        <v>Female</v>
      </c>
      <c r="D212" t="str">
        <f>VLOOKUP(A212, user_table!$A:$F, 5, FALSE)</f>
        <v>Tablet</v>
      </c>
      <c r="E212" t="str">
        <f>VLOOKUP(A212, user_table!$A:$F, 6, FALSE)</f>
        <v>Organic</v>
      </c>
      <c r="F212" s="1" t="str">
        <f>IF(ISNUMBER(MATCH(A212, search_page!$A:$A, 0)), "Yes", "No")</f>
        <v>No</v>
      </c>
    </row>
    <row r="213" spans="1:6">
      <c r="A213">
        <v>1212</v>
      </c>
      <c r="B213" s="2">
        <v>45374.460416666669</v>
      </c>
      <c r="C213" t="str">
        <f>VLOOKUP(A213, user_table!$A:$B, 2, FALSE)</f>
        <v>Female</v>
      </c>
      <c r="D213" t="str">
        <f>VLOOKUP(A213, user_table!$A:$F, 5, FALSE)</f>
        <v>Desktop</v>
      </c>
      <c r="E213" t="str">
        <f>VLOOKUP(A213, user_table!$A:$F, 6, FALSE)</f>
        <v>Email</v>
      </c>
      <c r="F213" s="1" t="str">
        <f>IF(ISNUMBER(MATCH(A213, search_page!$A:$A, 0)), "Yes", "No")</f>
        <v>No</v>
      </c>
    </row>
    <row r="214" spans="1:6">
      <c r="A214">
        <v>1213</v>
      </c>
      <c r="B214" s="2">
        <v>45342.341666666667</v>
      </c>
      <c r="C214" t="str">
        <f>VLOOKUP(A214, user_table!$A:$B, 2, FALSE)</f>
        <v>Female</v>
      </c>
      <c r="D214" t="str">
        <f>VLOOKUP(A214, user_table!$A:$F, 5, FALSE)</f>
        <v>Mobile</v>
      </c>
      <c r="E214" t="str">
        <f>VLOOKUP(A214, user_table!$A:$F, 6, FALSE)</f>
        <v>Organic</v>
      </c>
      <c r="F214" s="1" t="str">
        <f>IF(ISNUMBER(MATCH(A214, search_page!$A:$A, 0)), "Yes", "No")</f>
        <v>No</v>
      </c>
    </row>
    <row r="215" spans="1:6">
      <c r="A215">
        <v>1214</v>
      </c>
      <c r="B215" s="2">
        <v>45307.586805555555</v>
      </c>
      <c r="C215" t="str">
        <f>VLOOKUP(A215, user_table!$A:$B, 2, FALSE)</f>
        <v>Male</v>
      </c>
      <c r="D215" t="str">
        <f>VLOOKUP(A215, user_table!$A:$F, 5, FALSE)</f>
        <v>Desktop</v>
      </c>
      <c r="E215" t="str">
        <f>VLOOKUP(A215, user_table!$A:$F, 6, FALSE)</f>
        <v>Paid</v>
      </c>
      <c r="F215" s="1" t="str">
        <f>IF(ISNUMBER(MATCH(A215, search_page!$A:$A, 0)), "Yes", "No")</f>
        <v>No</v>
      </c>
    </row>
    <row r="216" spans="1:6">
      <c r="A216">
        <v>1215</v>
      </c>
      <c r="B216" s="2">
        <v>45376.27847222222</v>
      </c>
      <c r="C216" t="str">
        <f>VLOOKUP(A216, user_table!$A:$B, 2, FALSE)</f>
        <v>Female</v>
      </c>
      <c r="D216" t="str">
        <f>VLOOKUP(A216, user_table!$A:$F, 5, FALSE)</f>
        <v>Desktop</v>
      </c>
      <c r="E216" t="str">
        <f>VLOOKUP(A216, user_table!$A:$F, 6, FALSE)</f>
        <v>Organic</v>
      </c>
      <c r="F216" s="1" t="str">
        <f>IF(ISNUMBER(MATCH(A216, search_page!$A:$A, 0)), "Yes", "No")</f>
        <v>Yes</v>
      </c>
    </row>
    <row r="217" spans="1:6">
      <c r="A217">
        <v>1216</v>
      </c>
      <c r="B217" s="2">
        <v>45373.792361111111</v>
      </c>
      <c r="C217" t="str">
        <f>VLOOKUP(A217, user_table!$A:$B, 2, FALSE)</f>
        <v>Male</v>
      </c>
      <c r="D217" t="str">
        <f>VLOOKUP(A217, user_table!$A:$F, 5, FALSE)</f>
        <v>Desktop</v>
      </c>
      <c r="E217" t="str">
        <f>VLOOKUP(A217, user_table!$A:$F, 6, FALSE)</f>
        <v>Email</v>
      </c>
      <c r="F217" s="1" t="str">
        <f>IF(ISNUMBER(MATCH(A217, search_page!$A:$A, 0)), "Yes", "No")</f>
        <v>Yes</v>
      </c>
    </row>
    <row r="218" spans="1:6">
      <c r="A218">
        <v>1217</v>
      </c>
      <c r="B218" s="2">
        <v>45298.427083333336</v>
      </c>
      <c r="C218" t="str">
        <f>VLOOKUP(A218, user_table!$A:$B, 2, FALSE)</f>
        <v>Male</v>
      </c>
      <c r="D218" t="str">
        <f>VLOOKUP(A218, user_table!$A:$F, 5, FALSE)</f>
        <v>Mobile</v>
      </c>
      <c r="E218" t="str">
        <f>VLOOKUP(A218, user_table!$A:$F, 6, FALSE)</f>
        <v>Social</v>
      </c>
      <c r="F218" s="1" t="str">
        <f>IF(ISNUMBER(MATCH(A218, search_page!$A:$A, 0)), "Yes", "No")</f>
        <v>Yes</v>
      </c>
    </row>
    <row r="219" spans="1:6">
      <c r="A219">
        <v>1218</v>
      </c>
      <c r="B219" s="2">
        <v>45308.759027777778</v>
      </c>
      <c r="C219" t="str">
        <f>VLOOKUP(A219, user_table!$A:$B, 2, FALSE)</f>
        <v>Female</v>
      </c>
      <c r="D219" t="str">
        <f>VLOOKUP(A219, user_table!$A:$F, 5, FALSE)</f>
        <v>Desktop</v>
      </c>
      <c r="E219" t="str">
        <f>VLOOKUP(A219, user_table!$A:$F, 6, FALSE)</f>
        <v>Organic</v>
      </c>
      <c r="F219" s="1" t="str">
        <f>IF(ISNUMBER(MATCH(A219, search_page!$A:$A, 0)), "Yes", "No")</f>
        <v>Yes</v>
      </c>
    </row>
    <row r="220" spans="1:6">
      <c r="A220">
        <v>1219</v>
      </c>
      <c r="B220" s="2">
        <v>45300.717361111114</v>
      </c>
      <c r="C220" t="str">
        <f>VLOOKUP(A220, user_table!$A:$B, 2, FALSE)</f>
        <v>Female</v>
      </c>
      <c r="D220" t="str">
        <f>VLOOKUP(A220, user_table!$A:$F, 5, FALSE)</f>
        <v>Desktop</v>
      </c>
      <c r="E220" t="str">
        <f>VLOOKUP(A220, user_table!$A:$F, 6, FALSE)</f>
        <v>Paid</v>
      </c>
      <c r="F220" s="1" t="str">
        <f>IF(ISNUMBER(MATCH(A220, search_page!$A:$A, 0)), "Yes", "No")</f>
        <v>Yes</v>
      </c>
    </row>
    <row r="221" spans="1:6">
      <c r="A221">
        <v>1220</v>
      </c>
      <c r="B221" s="2">
        <v>45367.286111111112</v>
      </c>
      <c r="C221" t="str">
        <f>VLOOKUP(A221, user_table!$A:$B, 2, FALSE)</f>
        <v>Female</v>
      </c>
      <c r="D221" t="str">
        <f>VLOOKUP(A221, user_table!$A:$F, 5, FALSE)</f>
        <v>Tablet</v>
      </c>
      <c r="E221" t="str">
        <f>VLOOKUP(A221, user_table!$A:$F, 6, FALSE)</f>
        <v>Social</v>
      </c>
      <c r="F221" s="1" t="str">
        <f>IF(ISNUMBER(MATCH(A221, search_page!$A:$A, 0)), "Yes", "No")</f>
        <v>Yes</v>
      </c>
    </row>
    <row r="222" spans="1:6">
      <c r="A222">
        <v>1221</v>
      </c>
      <c r="B222" s="2">
        <v>45321.450694444444</v>
      </c>
      <c r="C222" t="str">
        <f>VLOOKUP(A222, user_table!$A:$B, 2, FALSE)</f>
        <v>Female</v>
      </c>
      <c r="D222" t="str">
        <f>VLOOKUP(A222, user_table!$A:$F, 5, FALSE)</f>
        <v>Desktop</v>
      </c>
      <c r="E222" t="str">
        <f>VLOOKUP(A222, user_table!$A:$F, 6, FALSE)</f>
        <v>Direct</v>
      </c>
      <c r="F222" s="1" t="str">
        <f>IF(ISNUMBER(MATCH(A222, search_page!$A:$A, 0)), "Yes", "No")</f>
        <v>Yes</v>
      </c>
    </row>
    <row r="223" spans="1:6">
      <c r="A223">
        <v>1222</v>
      </c>
      <c r="B223" s="2">
        <v>45310.791666666664</v>
      </c>
      <c r="C223" t="str">
        <f>VLOOKUP(A223, user_table!$A:$B, 2, FALSE)</f>
        <v>Female</v>
      </c>
      <c r="D223" t="str">
        <f>VLOOKUP(A223, user_table!$A:$F, 5, FALSE)</f>
        <v>Desktop</v>
      </c>
      <c r="E223" t="str">
        <f>VLOOKUP(A223, user_table!$A:$F, 6, FALSE)</f>
        <v>Organic</v>
      </c>
      <c r="F223" s="1" t="str">
        <f>IF(ISNUMBER(MATCH(A223, search_page!$A:$A, 0)), "Yes", "No")</f>
        <v>No</v>
      </c>
    </row>
    <row r="224" spans="1:6">
      <c r="A224">
        <v>1223</v>
      </c>
      <c r="B224" s="2">
        <v>45327.172222222223</v>
      </c>
      <c r="C224" t="str">
        <f>VLOOKUP(A224, user_table!$A:$B, 2, FALSE)</f>
        <v>Male</v>
      </c>
      <c r="D224" t="str">
        <f>VLOOKUP(A224, user_table!$A:$F, 5, FALSE)</f>
        <v>Desktop</v>
      </c>
      <c r="E224" t="str">
        <f>VLOOKUP(A224, user_table!$A:$F, 6, FALSE)</f>
        <v>Email</v>
      </c>
      <c r="F224" s="1" t="str">
        <f>IF(ISNUMBER(MATCH(A224, search_page!$A:$A, 0)), "Yes", "No")</f>
        <v>Yes</v>
      </c>
    </row>
    <row r="225" spans="1:6">
      <c r="A225">
        <v>1224</v>
      </c>
      <c r="B225" s="2">
        <v>45361.368750000001</v>
      </c>
      <c r="C225" t="str">
        <f>VLOOKUP(A225, user_table!$A:$B, 2, FALSE)</f>
        <v>Male</v>
      </c>
      <c r="D225" t="str">
        <f>VLOOKUP(A225, user_table!$A:$F, 5, FALSE)</f>
        <v>Tablet</v>
      </c>
      <c r="E225" t="str">
        <f>VLOOKUP(A225, user_table!$A:$F, 6, FALSE)</f>
        <v>Direct</v>
      </c>
      <c r="F225" s="1" t="str">
        <f>IF(ISNUMBER(MATCH(A225, search_page!$A:$A, 0)), "Yes", "No")</f>
        <v>Yes</v>
      </c>
    </row>
    <row r="226" spans="1:6">
      <c r="A226">
        <v>1225</v>
      </c>
      <c r="B226" s="2">
        <v>45314.154166666667</v>
      </c>
      <c r="C226" t="str">
        <f>VLOOKUP(A226, user_table!$A:$B, 2, FALSE)</f>
        <v>Male</v>
      </c>
      <c r="D226" t="str">
        <f>VLOOKUP(A226, user_table!$A:$F, 5, FALSE)</f>
        <v>Mobile</v>
      </c>
      <c r="E226" t="str">
        <f>VLOOKUP(A226, user_table!$A:$F, 6, FALSE)</f>
        <v>Direct</v>
      </c>
      <c r="F226" s="1" t="str">
        <f>IF(ISNUMBER(MATCH(A226, search_page!$A:$A, 0)), "Yes", "No")</f>
        <v>Yes</v>
      </c>
    </row>
    <row r="227" spans="1:6">
      <c r="A227">
        <v>1226</v>
      </c>
      <c r="B227" s="2">
        <v>45295.166666666664</v>
      </c>
      <c r="C227" t="str">
        <f>VLOOKUP(A227, user_table!$A:$B, 2, FALSE)</f>
        <v>Male</v>
      </c>
      <c r="D227" t="str">
        <f>VLOOKUP(A227, user_table!$A:$F, 5, FALSE)</f>
        <v>Desktop</v>
      </c>
      <c r="E227" t="str">
        <f>VLOOKUP(A227, user_table!$A:$F, 6, FALSE)</f>
        <v>Social</v>
      </c>
      <c r="F227" s="1" t="str">
        <f>IF(ISNUMBER(MATCH(A227, search_page!$A:$A, 0)), "Yes", "No")</f>
        <v>Yes</v>
      </c>
    </row>
    <row r="228" spans="1:6">
      <c r="A228">
        <v>1227</v>
      </c>
      <c r="B228" s="2">
        <v>45337.317361111112</v>
      </c>
      <c r="C228" t="str">
        <f>VLOOKUP(A228, user_table!$A:$B, 2, FALSE)</f>
        <v>Female</v>
      </c>
      <c r="D228" t="str">
        <f>VLOOKUP(A228, user_table!$A:$F, 5, FALSE)</f>
        <v>Mobile</v>
      </c>
      <c r="E228" t="str">
        <f>VLOOKUP(A228, user_table!$A:$F, 6, FALSE)</f>
        <v>Social</v>
      </c>
      <c r="F228" s="1" t="str">
        <f>IF(ISNUMBER(MATCH(A228, search_page!$A:$A, 0)), "Yes", "No")</f>
        <v>No</v>
      </c>
    </row>
    <row r="229" spans="1:6">
      <c r="A229">
        <v>1228</v>
      </c>
      <c r="B229" s="2">
        <v>45333.007638888892</v>
      </c>
      <c r="C229" t="str">
        <f>VLOOKUP(A229, user_table!$A:$B, 2, FALSE)</f>
        <v>Male</v>
      </c>
      <c r="D229" t="str">
        <f>VLOOKUP(A229, user_table!$A:$F, 5, FALSE)</f>
        <v>Mobile</v>
      </c>
      <c r="E229" t="str">
        <f>VLOOKUP(A229, user_table!$A:$F, 6, FALSE)</f>
        <v>Paid</v>
      </c>
      <c r="F229" s="1" t="str">
        <f>IF(ISNUMBER(MATCH(A229, search_page!$A:$A, 0)), "Yes", "No")</f>
        <v>Yes</v>
      </c>
    </row>
    <row r="230" spans="1:6">
      <c r="A230">
        <v>1229</v>
      </c>
      <c r="B230" s="2">
        <v>45325.047222222223</v>
      </c>
      <c r="C230" t="str">
        <f>VLOOKUP(A230, user_table!$A:$B, 2, FALSE)</f>
        <v>Female</v>
      </c>
      <c r="D230" t="str">
        <f>VLOOKUP(A230, user_table!$A:$F, 5, FALSE)</f>
        <v>Desktop</v>
      </c>
      <c r="E230" t="str">
        <f>VLOOKUP(A230, user_table!$A:$F, 6, FALSE)</f>
        <v>Email</v>
      </c>
      <c r="F230" s="1" t="str">
        <f>IF(ISNUMBER(MATCH(A230, search_page!$A:$A, 0)), "Yes", "No")</f>
        <v>Yes</v>
      </c>
    </row>
    <row r="231" spans="1:6">
      <c r="A231">
        <v>1230</v>
      </c>
      <c r="B231" s="2">
        <v>45345.671527777777</v>
      </c>
      <c r="C231" t="str">
        <f>VLOOKUP(A231, user_table!$A:$B, 2, FALSE)</f>
        <v>Female</v>
      </c>
      <c r="D231" t="str">
        <f>VLOOKUP(A231, user_table!$A:$F, 5, FALSE)</f>
        <v>Mobile</v>
      </c>
      <c r="E231" t="str">
        <f>VLOOKUP(A231, user_table!$A:$F, 6, FALSE)</f>
        <v>Paid</v>
      </c>
      <c r="F231" s="1" t="str">
        <f>IF(ISNUMBER(MATCH(A231, search_page!$A:$A, 0)), "Yes", "No")</f>
        <v>No</v>
      </c>
    </row>
    <row r="232" spans="1:6">
      <c r="A232">
        <v>1231</v>
      </c>
      <c r="B232" s="2">
        <v>45300.644444444442</v>
      </c>
      <c r="C232" t="str">
        <f>VLOOKUP(A232, user_table!$A:$B, 2, FALSE)</f>
        <v>Female</v>
      </c>
      <c r="D232" t="str">
        <f>VLOOKUP(A232, user_table!$A:$F, 5, FALSE)</f>
        <v>Mobile</v>
      </c>
      <c r="E232" t="str">
        <f>VLOOKUP(A232, user_table!$A:$F, 6, FALSE)</f>
        <v>Social</v>
      </c>
      <c r="F232" s="1" t="str">
        <f>IF(ISNUMBER(MATCH(A232, search_page!$A:$A, 0)), "Yes", "No")</f>
        <v>Yes</v>
      </c>
    </row>
    <row r="233" spans="1:6">
      <c r="A233">
        <v>1232</v>
      </c>
      <c r="B233" s="2">
        <v>45338.692361111112</v>
      </c>
      <c r="C233" t="str">
        <f>VLOOKUP(A233, user_table!$A:$B, 2, FALSE)</f>
        <v>Male</v>
      </c>
      <c r="D233" t="str">
        <f>VLOOKUP(A233, user_table!$A:$F, 5, FALSE)</f>
        <v>Mobile</v>
      </c>
      <c r="E233" t="str">
        <f>VLOOKUP(A233, user_table!$A:$F, 6, FALSE)</f>
        <v>Paid</v>
      </c>
      <c r="F233" s="1" t="str">
        <f>IF(ISNUMBER(MATCH(A233, search_page!$A:$A, 0)), "Yes", "No")</f>
        <v>No</v>
      </c>
    </row>
    <row r="234" spans="1:6">
      <c r="A234">
        <v>1233</v>
      </c>
      <c r="B234" s="2">
        <v>45305.605555555558</v>
      </c>
      <c r="C234" t="str">
        <f>VLOOKUP(A234, user_table!$A:$B, 2, FALSE)</f>
        <v>Female</v>
      </c>
      <c r="D234" t="str">
        <f>VLOOKUP(A234, user_table!$A:$F, 5, FALSE)</f>
        <v>Desktop</v>
      </c>
      <c r="E234" t="str">
        <f>VLOOKUP(A234, user_table!$A:$F, 6, FALSE)</f>
        <v>Social</v>
      </c>
      <c r="F234" s="1" t="str">
        <f>IF(ISNUMBER(MATCH(A234, search_page!$A:$A, 0)), "Yes", "No")</f>
        <v>No</v>
      </c>
    </row>
    <row r="235" spans="1:6">
      <c r="A235">
        <v>1234</v>
      </c>
      <c r="B235" s="2">
        <v>45320.793055555558</v>
      </c>
      <c r="C235" t="str">
        <f>VLOOKUP(A235, user_table!$A:$B, 2, FALSE)</f>
        <v>Male</v>
      </c>
      <c r="D235" t="str">
        <f>VLOOKUP(A235, user_table!$A:$F, 5, FALSE)</f>
        <v>Tablet</v>
      </c>
      <c r="E235" t="str">
        <f>VLOOKUP(A235, user_table!$A:$F, 6, FALSE)</f>
        <v>Email</v>
      </c>
      <c r="F235" s="1" t="str">
        <f>IF(ISNUMBER(MATCH(A235, search_page!$A:$A, 0)), "Yes", "No")</f>
        <v>Yes</v>
      </c>
    </row>
    <row r="236" spans="1:6">
      <c r="A236">
        <v>1235</v>
      </c>
      <c r="B236" s="2">
        <v>45376.679861111108</v>
      </c>
      <c r="C236" t="str">
        <f>VLOOKUP(A236, user_table!$A:$B, 2, FALSE)</f>
        <v>Male</v>
      </c>
      <c r="D236" t="str">
        <f>VLOOKUP(A236, user_table!$A:$F, 5, FALSE)</f>
        <v>Mobile</v>
      </c>
      <c r="E236" t="str">
        <f>VLOOKUP(A236, user_table!$A:$F, 6, FALSE)</f>
        <v>Organic</v>
      </c>
      <c r="F236" s="1" t="str">
        <f>IF(ISNUMBER(MATCH(A236, search_page!$A:$A, 0)), "Yes", "No")</f>
        <v>Yes</v>
      </c>
    </row>
    <row r="237" spans="1:6">
      <c r="A237">
        <v>1236</v>
      </c>
      <c r="B237" s="2">
        <v>45350.834027777775</v>
      </c>
      <c r="C237" t="str">
        <f>VLOOKUP(A237, user_table!$A:$B, 2, FALSE)</f>
        <v>Female</v>
      </c>
      <c r="D237" t="str">
        <f>VLOOKUP(A237, user_table!$A:$F, 5, FALSE)</f>
        <v>Desktop</v>
      </c>
      <c r="E237" t="str">
        <f>VLOOKUP(A237, user_table!$A:$F, 6, FALSE)</f>
        <v>Email</v>
      </c>
      <c r="F237" s="1" t="str">
        <f>IF(ISNUMBER(MATCH(A237, search_page!$A:$A, 0)), "Yes", "No")</f>
        <v>Yes</v>
      </c>
    </row>
    <row r="238" spans="1:6">
      <c r="A238">
        <v>1237</v>
      </c>
      <c r="B238" s="2">
        <v>45299.662499999999</v>
      </c>
      <c r="C238" t="str">
        <f>VLOOKUP(A238, user_table!$A:$B, 2, FALSE)</f>
        <v>Male</v>
      </c>
      <c r="D238" t="str">
        <f>VLOOKUP(A238, user_table!$A:$F, 5, FALSE)</f>
        <v>Desktop</v>
      </c>
      <c r="E238" t="str">
        <f>VLOOKUP(A238, user_table!$A:$F, 6, FALSE)</f>
        <v>Paid</v>
      </c>
      <c r="F238" s="1" t="str">
        <f>IF(ISNUMBER(MATCH(A238, search_page!$A:$A, 0)), "Yes", "No")</f>
        <v>No</v>
      </c>
    </row>
    <row r="239" spans="1:6">
      <c r="A239">
        <v>1238</v>
      </c>
      <c r="B239" s="2">
        <v>45343.571527777778</v>
      </c>
      <c r="C239" t="str">
        <f>VLOOKUP(A239, user_table!$A:$B, 2, FALSE)</f>
        <v>Male</v>
      </c>
      <c r="D239" t="str">
        <f>VLOOKUP(A239, user_table!$A:$F, 5, FALSE)</f>
        <v>Desktop</v>
      </c>
      <c r="E239" t="str">
        <f>VLOOKUP(A239, user_table!$A:$F, 6, FALSE)</f>
        <v>Email</v>
      </c>
      <c r="F239" s="1" t="str">
        <f>IF(ISNUMBER(MATCH(A239, search_page!$A:$A, 0)), "Yes", "No")</f>
        <v>No</v>
      </c>
    </row>
    <row r="240" spans="1:6">
      <c r="A240">
        <v>1239</v>
      </c>
      <c r="B240" s="2">
        <v>45305.65625</v>
      </c>
      <c r="C240" t="str">
        <f>VLOOKUP(A240, user_table!$A:$B, 2, FALSE)</f>
        <v>Female</v>
      </c>
      <c r="D240" t="str">
        <f>VLOOKUP(A240, user_table!$A:$F, 5, FALSE)</f>
        <v>Desktop</v>
      </c>
      <c r="E240" t="str">
        <f>VLOOKUP(A240, user_table!$A:$F, 6, FALSE)</f>
        <v>Paid</v>
      </c>
      <c r="F240" s="1" t="str">
        <f>IF(ISNUMBER(MATCH(A240, search_page!$A:$A, 0)), "Yes", "No")</f>
        <v>Yes</v>
      </c>
    </row>
    <row r="241" spans="1:6">
      <c r="A241">
        <v>1240</v>
      </c>
      <c r="B241" s="2">
        <v>45348.122916666667</v>
      </c>
      <c r="C241" t="str">
        <f>VLOOKUP(A241, user_table!$A:$B, 2, FALSE)</f>
        <v>Male</v>
      </c>
      <c r="D241" t="str">
        <f>VLOOKUP(A241, user_table!$A:$F, 5, FALSE)</f>
        <v>Mobile</v>
      </c>
      <c r="E241" t="str">
        <f>VLOOKUP(A241, user_table!$A:$F, 6, FALSE)</f>
        <v>Paid</v>
      </c>
      <c r="F241" s="1" t="str">
        <f>IF(ISNUMBER(MATCH(A241, search_page!$A:$A, 0)), "Yes", "No")</f>
        <v>No</v>
      </c>
    </row>
    <row r="242" spans="1:6">
      <c r="A242">
        <v>1241</v>
      </c>
      <c r="B242" s="2">
        <v>45302.443055555559</v>
      </c>
      <c r="C242" t="str">
        <f>VLOOKUP(A242, user_table!$A:$B, 2, FALSE)</f>
        <v>Female</v>
      </c>
      <c r="D242" t="str">
        <f>VLOOKUP(A242, user_table!$A:$F, 5, FALSE)</f>
        <v>Desktop</v>
      </c>
      <c r="E242" t="str">
        <f>VLOOKUP(A242, user_table!$A:$F, 6, FALSE)</f>
        <v>Direct</v>
      </c>
      <c r="F242" s="1" t="str">
        <f>IF(ISNUMBER(MATCH(A242, search_page!$A:$A, 0)), "Yes", "No")</f>
        <v>Yes</v>
      </c>
    </row>
    <row r="243" spans="1:6">
      <c r="A243">
        <v>1242</v>
      </c>
      <c r="B243" s="2">
        <v>45310.088888888888</v>
      </c>
      <c r="C243" t="str">
        <f>VLOOKUP(A243, user_table!$A:$B, 2, FALSE)</f>
        <v>Female</v>
      </c>
      <c r="D243" t="str">
        <f>VLOOKUP(A243, user_table!$A:$F, 5, FALSE)</f>
        <v>Desktop</v>
      </c>
      <c r="E243" t="str">
        <f>VLOOKUP(A243, user_table!$A:$F, 6, FALSE)</f>
        <v>Organic</v>
      </c>
      <c r="F243" s="1" t="str">
        <f>IF(ISNUMBER(MATCH(A243, search_page!$A:$A, 0)), "Yes", "No")</f>
        <v>No</v>
      </c>
    </row>
    <row r="244" spans="1:6">
      <c r="A244">
        <v>1243</v>
      </c>
      <c r="B244" s="2">
        <v>45327.819444444445</v>
      </c>
      <c r="C244" t="str">
        <f>VLOOKUP(A244, user_table!$A:$B, 2, FALSE)</f>
        <v>Female</v>
      </c>
      <c r="D244" t="str">
        <f>VLOOKUP(A244, user_table!$A:$F, 5, FALSE)</f>
        <v>Mobile</v>
      </c>
      <c r="E244" t="str">
        <f>VLOOKUP(A244, user_table!$A:$F, 6, FALSE)</f>
        <v>Email</v>
      </c>
      <c r="F244" s="1" t="str">
        <f>IF(ISNUMBER(MATCH(A244, search_page!$A:$A, 0)), "Yes", "No")</f>
        <v>Yes</v>
      </c>
    </row>
    <row r="245" spans="1:6">
      <c r="A245">
        <v>1244</v>
      </c>
      <c r="B245" s="2">
        <v>45366.739583333336</v>
      </c>
      <c r="C245" t="str">
        <f>VLOOKUP(A245, user_table!$A:$B, 2, FALSE)</f>
        <v>Male</v>
      </c>
      <c r="D245" t="str">
        <f>VLOOKUP(A245, user_table!$A:$F, 5, FALSE)</f>
        <v>Desktop</v>
      </c>
      <c r="E245" t="str">
        <f>VLOOKUP(A245, user_table!$A:$F, 6, FALSE)</f>
        <v>Paid</v>
      </c>
      <c r="F245" s="1" t="str">
        <f>IF(ISNUMBER(MATCH(A245, search_page!$A:$A, 0)), "Yes", "No")</f>
        <v>Yes</v>
      </c>
    </row>
    <row r="246" spans="1:6">
      <c r="A246">
        <v>1245</v>
      </c>
      <c r="B246" s="2">
        <v>45333.526388888888</v>
      </c>
      <c r="C246" t="str">
        <f>VLOOKUP(A246, user_table!$A:$B, 2, FALSE)</f>
        <v>Male</v>
      </c>
      <c r="D246" t="str">
        <f>VLOOKUP(A246, user_table!$A:$F, 5, FALSE)</f>
        <v>Tablet</v>
      </c>
      <c r="E246" t="str">
        <f>VLOOKUP(A246, user_table!$A:$F, 6, FALSE)</f>
        <v>Paid</v>
      </c>
      <c r="F246" s="1" t="str">
        <f>IF(ISNUMBER(MATCH(A246, search_page!$A:$A, 0)), "Yes", "No")</f>
        <v>Yes</v>
      </c>
    </row>
    <row r="247" spans="1:6">
      <c r="A247">
        <v>1246</v>
      </c>
      <c r="B247" s="2">
        <v>45359.395138888889</v>
      </c>
      <c r="C247" t="str">
        <f>VLOOKUP(A247, user_table!$A:$B, 2, FALSE)</f>
        <v>Female</v>
      </c>
      <c r="D247" t="str">
        <f>VLOOKUP(A247, user_table!$A:$F, 5, FALSE)</f>
        <v>Desktop</v>
      </c>
      <c r="E247" t="str">
        <f>VLOOKUP(A247, user_table!$A:$F, 6, FALSE)</f>
        <v>Paid</v>
      </c>
      <c r="F247" s="1" t="str">
        <f>IF(ISNUMBER(MATCH(A247, search_page!$A:$A, 0)), "Yes", "No")</f>
        <v>Yes</v>
      </c>
    </row>
    <row r="248" spans="1:6">
      <c r="A248">
        <v>1247</v>
      </c>
      <c r="B248" s="2">
        <v>45356.810416666667</v>
      </c>
      <c r="C248" t="str">
        <f>VLOOKUP(A248, user_table!$A:$B, 2, FALSE)</f>
        <v>Male</v>
      </c>
      <c r="D248" t="str">
        <f>VLOOKUP(A248, user_table!$A:$F, 5, FALSE)</f>
        <v>Desktop</v>
      </c>
      <c r="E248" t="str">
        <f>VLOOKUP(A248, user_table!$A:$F, 6, FALSE)</f>
        <v>Social</v>
      </c>
      <c r="F248" s="1" t="str">
        <f>IF(ISNUMBER(MATCH(A248, search_page!$A:$A, 0)), "Yes", "No")</f>
        <v>Yes</v>
      </c>
    </row>
    <row r="249" spans="1:6">
      <c r="A249">
        <v>1248</v>
      </c>
      <c r="B249" s="2">
        <v>45304.921527777777</v>
      </c>
      <c r="C249" t="str">
        <f>VLOOKUP(A249, user_table!$A:$B, 2, FALSE)</f>
        <v>Female</v>
      </c>
      <c r="D249" t="str">
        <f>VLOOKUP(A249, user_table!$A:$F, 5, FALSE)</f>
        <v>Desktop</v>
      </c>
      <c r="E249" t="str">
        <f>VLOOKUP(A249, user_table!$A:$F, 6, FALSE)</f>
        <v>Paid</v>
      </c>
      <c r="F249" s="1" t="str">
        <f>IF(ISNUMBER(MATCH(A249, search_page!$A:$A, 0)), "Yes", "No")</f>
        <v>No</v>
      </c>
    </row>
    <row r="250" spans="1:6">
      <c r="A250">
        <v>1249</v>
      </c>
      <c r="B250" s="2">
        <v>45375.87222222222</v>
      </c>
      <c r="C250" t="str">
        <f>VLOOKUP(A250, user_table!$A:$B, 2, FALSE)</f>
        <v>Female</v>
      </c>
      <c r="D250" t="str">
        <f>VLOOKUP(A250, user_table!$A:$F, 5, FALSE)</f>
        <v>Desktop</v>
      </c>
      <c r="E250" t="str">
        <f>VLOOKUP(A250, user_table!$A:$F, 6, FALSE)</f>
        <v>Organic</v>
      </c>
      <c r="F250" s="1" t="str">
        <f>IF(ISNUMBER(MATCH(A250, search_page!$A:$A, 0)), "Yes", "No")</f>
        <v>Yes</v>
      </c>
    </row>
    <row r="251" spans="1:6">
      <c r="A251">
        <v>1250</v>
      </c>
      <c r="B251" s="2">
        <v>45362.996527777781</v>
      </c>
      <c r="C251" t="str">
        <f>VLOOKUP(A251, user_table!$A:$B, 2, FALSE)</f>
        <v>Female</v>
      </c>
      <c r="D251" t="str">
        <f>VLOOKUP(A251, user_table!$A:$F, 5, FALSE)</f>
        <v>Desktop</v>
      </c>
      <c r="E251" t="str">
        <f>VLOOKUP(A251, user_table!$A:$F, 6, FALSE)</f>
        <v>Organic</v>
      </c>
      <c r="F251" s="1" t="str">
        <f>IF(ISNUMBER(MATCH(A251, search_page!$A:$A, 0)), "Yes", "No")</f>
        <v>No</v>
      </c>
    </row>
    <row r="252" spans="1:6">
      <c r="A252">
        <v>1251</v>
      </c>
      <c r="B252" s="2">
        <v>45319.561111111114</v>
      </c>
      <c r="C252" t="str">
        <f>VLOOKUP(A252, user_table!$A:$B, 2, FALSE)</f>
        <v>Male</v>
      </c>
      <c r="D252" t="str">
        <f>VLOOKUP(A252, user_table!$A:$F, 5, FALSE)</f>
        <v>Mobile</v>
      </c>
      <c r="E252" t="str">
        <f>VLOOKUP(A252, user_table!$A:$F, 6, FALSE)</f>
        <v>Organic</v>
      </c>
      <c r="F252" s="1" t="str">
        <f>IF(ISNUMBER(MATCH(A252, search_page!$A:$A, 0)), "Yes", "No")</f>
        <v>Yes</v>
      </c>
    </row>
    <row r="253" spans="1:6">
      <c r="A253">
        <v>1252</v>
      </c>
      <c r="B253" s="2">
        <v>45321.556250000001</v>
      </c>
      <c r="C253" t="str">
        <f>VLOOKUP(A253, user_table!$A:$B, 2, FALSE)</f>
        <v>Male</v>
      </c>
      <c r="D253" t="str">
        <f>VLOOKUP(A253, user_table!$A:$F, 5, FALSE)</f>
        <v>Tablet</v>
      </c>
      <c r="E253" t="str">
        <f>VLOOKUP(A253, user_table!$A:$F, 6, FALSE)</f>
        <v>Direct</v>
      </c>
      <c r="F253" s="1" t="str">
        <f>IF(ISNUMBER(MATCH(A253, search_page!$A:$A, 0)), "Yes", "No")</f>
        <v>No</v>
      </c>
    </row>
    <row r="254" spans="1:6">
      <c r="A254">
        <v>1253</v>
      </c>
      <c r="B254" s="2">
        <v>45350.518055555556</v>
      </c>
      <c r="C254" t="str">
        <f>VLOOKUP(A254, user_table!$A:$B, 2, FALSE)</f>
        <v>Female</v>
      </c>
      <c r="D254" t="str">
        <f>VLOOKUP(A254, user_table!$A:$F, 5, FALSE)</f>
        <v>Desktop</v>
      </c>
      <c r="E254" t="str">
        <f>VLOOKUP(A254, user_table!$A:$F, 6, FALSE)</f>
        <v>Direct</v>
      </c>
      <c r="F254" s="1" t="str">
        <f>IF(ISNUMBER(MATCH(A254, search_page!$A:$A, 0)), "Yes", "No")</f>
        <v>Yes</v>
      </c>
    </row>
    <row r="255" spans="1:6">
      <c r="A255">
        <v>1254</v>
      </c>
      <c r="B255" s="2">
        <v>45304.435416666667</v>
      </c>
      <c r="C255" t="str">
        <f>VLOOKUP(A255, user_table!$A:$B, 2, FALSE)</f>
        <v>Male</v>
      </c>
      <c r="D255" t="str">
        <f>VLOOKUP(A255, user_table!$A:$F, 5, FALSE)</f>
        <v>Mobile</v>
      </c>
      <c r="E255" t="str">
        <f>VLOOKUP(A255, user_table!$A:$F, 6, FALSE)</f>
        <v>Paid</v>
      </c>
      <c r="F255" s="1" t="str">
        <f>IF(ISNUMBER(MATCH(A255, search_page!$A:$A, 0)), "Yes", "No")</f>
        <v>Yes</v>
      </c>
    </row>
    <row r="256" spans="1:6">
      <c r="A256">
        <v>1255</v>
      </c>
      <c r="B256" s="2">
        <v>45332.886111111111</v>
      </c>
      <c r="C256" t="str">
        <f>VLOOKUP(A256, user_table!$A:$B, 2, FALSE)</f>
        <v>Male</v>
      </c>
      <c r="D256" t="str">
        <f>VLOOKUP(A256, user_table!$A:$F, 5, FALSE)</f>
        <v>Mobile</v>
      </c>
      <c r="E256" t="str">
        <f>VLOOKUP(A256, user_table!$A:$F, 6, FALSE)</f>
        <v>Social</v>
      </c>
      <c r="F256" s="1" t="str">
        <f>IF(ISNUMBER(MATCH(A256, search_page!$A:$A, 0)), "Yes", "No")</f>
        <v>Yes</v>
      </c>
    </row>
    <row r="257" spans="1:6">
      <c r="A257">
        <v>1256</v>
      </c>
      <c r="B257" s="2">
        <v>45339.196527777778</v>
      </c>
      <c r="C257" t="str">
        <f>VLOOKUP(A257, user_table!$A:$B, 2, FALSE)</f>
        <v>Female</v>
      </c>
      <c r="D257" t="str">
        <f>VLOOKUP(A257, user_table!$A:$F, 5, FALSE)</f>
        <v>Mobile</v>
      </c>
      <c r="E257" t="str">
        <f>VLOOKUP(A257, user_table!$A:$F, 6, FALSE)</f>
        <v>Paid</v>
      </c>
      <c r="F257" s="1" t="str">
        <f>IF(ISNUMBER(MATCH(A257, search_page!$A:$A, 0)), "Yes", "No")</f>
        <v>Yes</v>
      </c>
    </row>
    <row r="258" spans="1:6">
      <c r="A258">
        <v>1257</v>
      </c>
      <c r="B258" s="2">
        <v>45352.086805555555</v>
      </c>
      <c r="C258" t="str">
        <f>VLOOKUP(A258, user_table!$A:$B, 2, FALSE)</f>
        <v>Female</v>
      </c>
      <c r="D258" t="str">
        <f>VLOOKUP(A258, user_table!$A:$F, 5, FALSE)</f>
        <v>Desktop</v>
      </c>
      <c r="E258" t="str">
        <f>VLOOKUP(A258, user_table!$A:$F, 6, FALSE)</f>
        <v>Social</v>
      </c>
      <c r="F258" s="1" t="str">
        <f>IF(ISNUMBER(MATCH(A258, search_page!$A:$A, 0)), "Yes", "No")</f>
        <v>No</v>
      </c>
    </row>
    <row r="259" spans="1:6">
      <c r="A259">
        <v>1258</v>
      </c>
      <c r="B259" s="2">
        <v>45302.102083333331</v>
      </c>
      <c r="C259" t="str">
        <f>VLOOKUP(A259, user_table!$A:$B, 2, FALSE)</f>
        <v>Female</v>
      </c>
      <c r="D259" t="str">
        <f>VLOOKUP(A259, user_table!$A:$F, 5, FALSE)</f>
        <v>Desktop</v>
      </c>
      <c r="E259" t="str">
        <f>VLOOKUP(A259, user_table!$A:$F, 6, FALSE)</f>
        <v>Email</v>
      </c>
      <c r="F259" s="1" t="str">
        <f>IF(ISNUMBER(MATCH(A259, search_page!$A:$A, 0)), "Yes", "No")</f>
        <v>Yes</v>
      </c>
    </row>
    <row r="260" spans="1:6">
      <c r="A260">
        <v>1259</v>
      </c>
      <c r="B260" s="2">
        <v>45304.990972222222</v>
      </c>
      <c r="C260" t="str">
        <f>VLOOKUP(A260, user_table!$A:$B, 2, FALSE)</f>
        <v>Female</v>
      </c>
      <c r="D260" t="str">
        <f>VLOOKUP(A260, user_table!$A:$F, 5, FALSE)</f>
        <v>Desktop</v>
      </c>
      <c r="E260" t="str">
        <f>VLOOKUP(A260, user_table!$A:$F, 6, FALSE)</f>
        <v>Direct</v>
      </c>
      <c r="F260" s="1" t="str">
        <f>IF(ISNUMBER(MATCH(A260, search_page!$A:$A, 0)), "Yes", "No")</f>
        <v>No</v>
      </c>
    </row>
    <row r="261" spans="1:6">
      <c r="A261">
        <v>1260</v>
      </c>
      <c r="B261" s="2">
        <v>45339.190972222219</v>
      </c>
      <c r="C261" t="str">
        <f>VLOOKUP(A261, user_table!$A:$B, 2, FALSE)</f>
        <v>Male</v>
      </c>
      <c r="D261" t="str">
        <f>VLOOKUP(A261, user_table!$A:$F, 5, FALSE)</f>
        <v>Mobile</v>
      </c>
      <c r="E261" t="str">
        <f>VLOOKUP(A261, user_table!$A:$F, 6, FALSE)</f>
        <v>Paid</v>
      </c>
      <c r="F261" s="1" t="str">
        <f>IF(ISNUMBER(MATCH(A261, search_page!$A:$A, 0)), "Yes", "No")</f>
        <v>No</v>
      </c>
    </row>
    <row r="262" spans="1:6">
      <c r="A262">
        <v>1261</v>
      </c>
      <c r="B262" s="2">
        <v>45299.774305555555</v>
      </c>
      <c r="C262" t="str">
        <f>VLOOKUP(A262, user_table!$A:$B, 2, FALSE)</f>
        <v>Female</v>
      </c>
      <c r="D262" t="str">
        <f>VLOOKUP(A262, user_table!$A:$F, 5, FALSE)</f>
        <v>Mobile</v>
      </c>
      <c r="E262" t="str">
        <f>VLOOKUP(A262, user_table!$A:$F, 6, FALSE)</f>
        <v>Email</v>
      </c>
      <c r="F262" s="1" t="str">
        <f>IF(ISNUMBER(MATCH(A262, search_page!$A:$A, 0)), "Yes", "No")</f>
        <v>Yes</v>
      </c>
    </row>
    <row r="263" spans="1:6">
      <c r="A263">
        <v>1262</v>
      </c>
      <c r="B263" s="2">
        <v>45363.445833333331</v>
      </c>
      <c r="C263" t="str">
        <f>VLOOKUP(A263, user_table!$A:$B, 2, FALSE)</f>
        <v>Female</v>
      </c>
      <c r="D263" t="str">
        <f>VLOOKUP(A263, user_table!$A:$F, 5, FALSE)</f>
        <v>Desktop</v>
      </c>
      <c r="E263" t="str">
        <f>VLOOKUP(A263, user_table!$A:$F, 6, FALSE)</f>
        <v>Organic</v>
      </c>
      <c r="F263" s="1" t="str">
        <f>IF(ISNUMBER(MATCH(A263, search_page!$A:$A, 0)), "Yes", "No")</f>
        <v>Yes</v>
      </c>
    </row>
    <row r="264" spans="1:6">
      <c r="A264">
        <v>1263</v>
      </c>
      <c r="B264" s="2">
        <v>45307.556944444441</v>
      </c>
      <c r="C264" t="str">
        <f>VLOOKUP(A264, user_table!$A:$B, 2, FALSE)</f>
        <v>Male</v>
      </c>
      <c r="D264" t="str">
        <f>VLOOKUP(A264, user_table!$A:$F, 5, FALSE)</f>
        <v>Desktop</v>
      </c>
      <c r="E264" t="str">
        <f>VLOOKUP(A264, user_table!$A:$F, 6, FALSE)</f>
        <v>Direct</v>
      </c>
      <c r="F264" s="1" t="str">
        <f>IF(ISNUMBER(MATCH(A264, search_page!$A:$A, 0)), "Yes", "No")</f>
        <v>No</v>
      </c>
    </row>
    <row r="265" spans="1:6">
      <c r="A265">
        <v>1264</v>
      </c>
      <c r="B265" s="2">
        <v>45377.579861111109</v>
      </c>
      <c r="C265" t="str">
        <f>VLOOKUP(A265, user_table!$A:$B, 2, FALSE)</f>
        <v>Male</v>
      </c>
      <c r="D265" t="str">
        <f>VLOOKUP(A265, user_table!$A:$F, 5, FALSE)</f>
        <v>Tablet</v>
      </c>
      <c r="E265" t="str">
        <f>VLOOKUP(A265, user_table!$A:$F, 6, FALSE)</f>
        <v>Organic</v>
      </c>
      <c r="F265" s="1" t="str">
        <f>IF(ISNUMBER(MATCH(A265, search_page!$A:$A, 0)), "Yes", "No")</f>
        <v>No</v>
      </c>
    </row>
    <row r="266" spans="1:6">
      <c r="A266">
        <v>1265</v>
      </c>
      <c r="B266" s="2">
        <v>45298.401388888888</v>
      </c>
      <c r="C266" t="str">
        <f>VLOOKUP(A266, user_table!$A:$B, 2, FALSE)</f>
        <v>Female</v>
      </c>
      <c r="D266" t="str">
        <f>VLOOKUP(A266, user_table!$A:$F, 5, FALSE)</f>
        <v>Mobile</v>
      </c>
      <c r="E266" t="str">
        <f>VLOOKUP(A266, user_table!$A:$F, 6, FALSE)</f>
        <v>Social</v>
      </c>
      <c r="F266" s="1" t="str">
        <f>IF(ISNUMBER(MATCH(A266, search_page!$A:$A, 0)), "Yes", "No")</f>
        <v>No</v>
      </c>
    </row>
    <row r="267" spans="1:6">
      <c r="A267">
        <v>1266</v>
      </c>
      <c r="B267" s="2">
        <v>45331.462500000001</v>
      </c>
      <c r="C267" t="str">
        <f>VLOOKUP(A267, user_table!$A:$B, 2, FALSE)</f>
        <v>Female</v>
      </c>
      <c r="D267" t="str">
        <f>VLOOKUP(A267, user_table!$A:$F, 5, FALSE)</f>
        <v>Tablet</v>
      </c>
      <c r="E267" t="str">
        <f>VLOOKUP(A267, user_table!$A:$F, 6, FALSE)</f>
        <v>Social</v>
      </c>
      <c r="F267" s="1" t="str">
        <f>IF(ISNUMBER(MATCH(A267, search_page!$A:$A, 0)), "Yes", "No")</f>
        <v>No</v>
      </c>
    </row>
    <row r="268" spans="1:6">
      <c r="A268">
        <v>1267</v>
      </c>
      <c r="B268" s="2">
        <v>45365.675694444442</v>
      </c>
      <c r="C268" t="str">
        <f>VLOOKUP(A268, user_table!$A:$B, 2, FALSE)</f>
        <v>Female</v>
      </c>
      <c r="D268" t="str">
        <f>VLOOKUP(A268, user_table!$A:$F, 5, FALSE)</f>
        <v>Mobile</v>
      </c>
      <c r="E268" t="str">
        <f>VLOOKUP(A268, user_table!$A:$F, 6, FALSE)</f>
        <v>Social</v>
      </c>
      <c r="F268" s="1" t="str">
        <f>IF(ISNUMBER(MATCH(A268, search_page!$A:$A, 0)), "Yes", "No")</f>
        <v>Yes</v>
      </c>
    </row>
    <row r="269" spans="1:6">
      <c r="A269">
        <v>1268</v>
      </c>
      <c r="B269" s="2">
        <v>45311.895833333336</v>
      </c>
      <c r="C269" t="str">
        <f>VLOOKUP(A269, user_table!$A:$B, 2, FALSE)</f>
        <v>Female</v>
      </c>
      <c r="D269" t="str">
        <f>VLOOKUP(A269, user_table!$A:$F, 5, FALSE)</f>
        <v>Desktop</v>
      </c>
      <c r="E269" t="str">
        <f>VLOOKUP(A269, user_table!$A:$F, 6, FALSE)</f>
        <v>Organic</v>
      </c>
      <c r="F269" s="1" t="str">
        <f>IF(ISNUMBER(MATCH(A269, search_page!$A:$A, 0)), "Yes", "No")</f>
        <v>Yes</v>
      </c>
    </row>
    <row r="270" spans="1:6">
      <c r="A270">
        <v>1269</v>
      </c>
      <c r="B270" s="2">
        <v>45320.140277777777</v>
      </c>
      <c r="C270" t="str">
        <f>VLOOKUP(A270, user_table!$A:$B, 2, FALSE)</f>
        <v>Male</v>
      </c>
      <c r="D270" t="str">
        <f>VLOOKUP(A270, user_table!$A:$F, 5, FALSE)</f>
        <v>Mobile</v>
      </c>
      <c r="E270" t="str">
        <f>VLOOKUP(A270, user_table!$A:$F, 6, FALSE)</f>
        <v>Direct</v>
      </c>
      <c r="F270" s="1" t="str">
        <f>IF(ISNUMBER(MATCH(A270, search_page!$A:$A, 0)), "Yes", "No")</f>
        <v>Yes</v>
      </c>
    </row>
    <row r="271" spans="1:6">
      <c r="A271">
        <v>1270</v>
      </c>
      <c r="B271" s="2">
        <v>45363.463194444441</v>
      </c>
      <c r="C271" t="str">
        <f>VLOOKUP(A271, user_table!$A:$B, 2, FALSE)</f>
        <v>Male</v>
      </c>
      <c r="D271" t="str">
        <f>VLOOKUP(A271, user_table!$A:$F, 5, FALSE)</f>
        <v>Mobile</v>
      </c>
      <c r="E271" t="str">
        <f>VLOOKUP(A271, user_table!$A:$F, 6, FALSE)</f>
        <v>Organic</v>
      </c>
      <c r="F271" s="1" t="str">
        <f>IF(ISNUMBER(MATCH(A271, search_page!$A:$A, 0)), "Yes", "No")</f>
        <v>Yes</v>
      </c>
    </row>
    <row r="272" spans="1:6">
      <c r="A272">
        <v>1271</v>
      </c>
      <c r="B272" s="2">
        <v>45327.759722222225</v>
      </c>
      <c r="C272" t="str">
        <f>VLOOKUP(A272, user_table!$A:$B, 2, FALSE)</f>
        <v>Female</v>
      </c>
      <c r="D272" t="str">
        <f>VLOOKUP(A272, user_table!$A:$F, 5, FALSE)</f>
        <v>Desktop</v>
      </c>
      <c r="E272" t="str">
        <f>VLOOKUP(A272, user_table!$A:$F, 6, FALSE)</f>
        <v>Social</v>
      </c>
      <c r="F272" s="1" t="str">
        <f>IF(ISNUMBER(MATCH(A272, search_page!$A:$A, 0)), "Yes", "No")</f>
        <v>Yes</v>
      </c>
    </row>
    <row r="273" spans="1:6">
      <c r="A273">
        <v>1272</v>
      </c>
      <c r="B273" s="2">
        <v>45346.742361111108</v>
      </c>
      <c r="C273" t="str">
        <f>VLOOKUP(A273, user_table!$A:$B, 2, FALSE)</f>
        <v>Female</v>
      </c>
      <c r="D273" t="str">
        <f>VLOOKUP(A273, user_table!$A:$F, 5, FALSE)</f>
        <v>Mobile</v>
      </c>
      <c r="E273" t="str">
        <f>VLOOKUP(A273, user_table!$A:$F, 6, FALSE)</f>
        <v>Organic</v>
      </c>
      <c r="F273" s="1" t="str">
        <f>IF(ISNUMBER(MATCH(A273, search_page!$A:$A, 0)), "Yes", "No")</f>
        <v>Yes</v>
      </c>
    </row>
    <row r="274" spans="1:6">
      <c r="A274">
        <v>1273</v>
      </c>
      <c r="B274" s="2">
        <v>45371.821527777778</v>
      </c>
      <c r="C274" t="str">
        <f>VLOOKUP(A274, user_table!$A:$B, 2, FALSE)</f>
        <v>Female</v>
      </c>
      <c r="D274" t="str">
        <f>VLOOKUP(A274, user_table!$A:$F, 5, FALSE)</f>
        <v>Mobile</v>
      </c>
      <c r="E274" t="str">
        <f>VLOOKUP(A274, user_table!$A:$F, 6, FALSE)</f>
        <v>Paid</v>
      </c>
      <c r="F274" s="1" t="str">
        <f>IF(ISNUMBER(MATCH(A274, search_page!$A:$A, 0)), "Yes", "No")</f>
        <v>No</v>
      </c>
    </row>
    <row r="275" spans="1:6">
      <c r="A275">
        <v>1274</v>
      </c>
      <c r="B275" s="2">
        <v>45374.709027777775</v>
      </c>
      <c r="C275" t="str">
        <f>VLOOKUP(A275, user_table!$A:$B, 2, FALSE)</f>
        <v>Female</v>
      </c>
      <c r="D275" t="str">
        <f>VLOOKUP(A275, user_table!$A:$F, 5, FALSE)</f>
        <v>Desktop</v>
      </c>
      <c r="E275" t="str">
        <f>VLOOKUP(A275, user_table!$A:$F, 6, FALSE)</f>
        <v>Paid</v>
      </c>
      <c r="F275" s="1" t="str">
        <f>IF(ISNUMBER(MATCH(A275, search_page!$A:$A, 0)), "Yes", "No")</f>
        <v>Yes</v>
      </c>
    </row>
    <row r="276" spans="1:6">
      <c r="A276">
        <v>1275</v>
      </c>
      <c r="B276" s="2">
        <v>45369.911805555559</v>
      </c>
      <c r="C276" t="str">
        <f>VLOOKUP(A276, user_table!$A:$B, 2, FALSE)</f>
        <v>Male</v>
      </c>
      <c r="D276" t="str">
        <f>VLOOKUP(A276, user_table!$A:$F, 5, FALSE)</f>
        <v>Mobile</v>
      </c>
      <c r="E276" t="str">
        <f>VLOOKUP(A276, user_table!$A:$F, 6, FALSE)</f>
        <v>Paid</v>
      </c>
      <c r="F276" s="1" t="str">
        <f>IF(ISNUMBER(MATCH(A276, search_page!$A:$A, 0)), "Yes", "No")</f>
        <v>Yes</v>
      </c>
    </row>
    <row r="277" spans="1:6">
      <c r="A277">
        <v>1276</v>
      </c>
      <c r="B277" s="2">
        <v>45380.334027777775</v>
      </c>
      <c r="C277" t="str">
        <f>VLOOKUP(A277, user_table!$A:$B, 2, FALSE)</f>
        <v>Male</v>
      </c>
      <c r="D277" t="str">
        <f>VLOOKUP(A277, user_table!$A:$F, 5, FALSE)</f>
        <v>Mobile</v>
      </c>
      <c r="E277" t="str">
        <f>VLOOKUP(A277, user_table!$A:$F, 6, FALSE)</f>
        <v>Organic</v>
      </c>
      <c r="F277" s="1" t="str">
        <f>IF(ISNUMBER(MATCH(A277, search_page!$A:$A, 0)), "Yes", "No")</f>
        <v>Yes</v>
      </c>
    </row>
    <row r="278" spans="1:6">
      <c r="A278">
        <v>1277</v>
      </c>
      <c r="B278" s="2">
        <v>45315.363888888889</v>
      </c>
      <c r="C278" t="str">
        <f>VLOOKUP(A278, user_table!$A:$B, 2, FALSE)</f>
        <v>Female</v>
      </c>
      <c r="D278" t="str">
        <f>VLOOKUP(A278, user_table!$A:$F, 5, FALSE)</f>
        <v>Tablet</v>
      </c>
      <c r="E278" t="str">
        <f>VLOOKUP(A278, user_table!$A:$F, 6, FALSE)</f>
        <v>Organic</v>
      </c>
      <c r="F278" s="1" t="str">
        <f>IF(ISNUMBER(MATCH(A278, search_page!$A:$A, 0)), "Yes", "No")</f>
        <v>Yes</v>
      </c>
    </row>
    <row r="279" spans="1:6">
      <c r="A279">
        <v>1278</v>
      </c>
      <c r="B279" s="2">
        <v>45331.431944444441</v>
      </c>
      <c r="C279" t="str">
        <f>VLOOKUP(A279, user_table!$A:$B, 2, FALSE)</f>
        <v>Female</v>
      </c>
      <c r="D279" t="str">
        <f>VLOOKUP(A279, user_table!$A:$F, 5, FALSE)</f>
        <v>Desktop</v>
      </c>
      <c r="E279" t="str">
        <f>VLOOKUP(A279, user_table!$A:$F, 6, FALSE)</f>
        <v>Paid</v>
      </c>
      <c r="F279" s="1" t="str">
        <f>IF(ISNUMBER(MATCH(A279, search_page!$A:$A, 0)), "Yes", "No")</f>
        <v>No</v>
      </c>
    </row>
    <row r="280" spans="1:6">
      <c r="A280">
        <v>1279</v>
      </c>
      <c r="B280" s="2">
        <v>45292.246527777781</v>
      </c>
      <c r="C280" t="str">
        <f>VLOOKUP(A280, user_table!$A:$B, 2, FALSE)</f>
        <v>Female</v>
      </c>
      <c r="D280" t="str">
        <f>VLOOKUP(A280, user_table!$A:$F, 5, FALSE)</f>
        <v>Desktop</v>
      </c>
      <c r="E280" t="str">
        <f>VLOOKUP(A280, user_table!$A:$F, 6, FALSE)</f>
        <v>Email</v>
      </c>
      <c r="F280" s="1" t="str">
        <f>IF(ISNUMBER(MATCH(A280, search_page!$A:$A, 0)), "Yes", "No")</f>
        <v>Yes</v>
      </c>
    </row>
    <row r="281" spans="1:6">
      <c r="A281">
        <v>1280</v>
      </c>
      <c r="B281" s="2">
        <v>45310.779166666667</v>
      </c>
      <c r="C281" t="str">
        <f>VLOOKUP(A281, user_table!$A:$B, 2, FALSE)</f>
        <v>Female</v>
      </c>
      <c r="D281" t="str">
        <f>VLOOKUP(A281, user_table!$A:$F, 5, FALSE)</f>
        <v>Mobile</v>
      </c>
      <c r="E281" t="str">
        <f>VLOOKUP(A281, user_table!$A:$F, 6, FALSE)</f>
        <v>Email</v>
      </c>
      <c r="F281" s="1" t="str">
        <f>IF(ISNUMBER(MATCH(A281, search_page!$A:$A, 0)), "Yes", "No")</f>
        <v>No</v>
      </c>
    </row>
    <row r="282" spans="1:6">
      <c r="A282">
        <v>1281</v>
      </c>
      <c r="B282" s="2">
        <v>45343.089583333334</v>
      </c>
      <c r="C282" t="str">
        <f>VLOOKUP(A282, user_table!$A:$B, 2, FALSE)</f>
        <v>Female</v>
      </c>
      <c r="D282" t="str">
        <f>VLOOKUP(A282, user_table!$A:$F, 5, FALSE)</f>
        <v>Desktop</v>
      </c>
      <c r="E282" t="str">
        <f>VLOOKUP(A282, user_table!$A:$F, 6, FALSE)</f>
        <v>Organic</v>
      </c>
      <c r="F282" s="1" t="str">
        <f>IF(ISNUMBER(MATCH(A282, search_page!$A:$A, 0)), "Yes", "No")</f>
        <v>No</v>
      </c>
    </row>
    <row r="283" spans="1:6">
      <c r="A283">
        <v>1282</v>
      </c>
      <c r="B283" s="2">
        <v>45373.003472222219</v>
      </c>
      <c r="C283" t="str">
        <f>VLOOKUP(A283, user_table!$A:$B, 2, FALSE)</f>
        <v>Male</v>
      </c>
      <c r="D283" t="str">
        <f>VLOOKUP(A283, user_table!$A:$F, 5, FALSE)</f>
        <v>Mobile</v>
      </c>
      <c r="E283" t="str">
        <f>VLOOKUP(A283, user_table!$A:$F, 6, FALSE)</f>
        <v>Paid</v>
      </c>
      <c r="F283" s="1" t="str">
        <f>IF(ISNUMBER(MATCH(A283, search_page!$A:$A, 0)), "Yes", "No")</f>
        <v>Yes</v>
      </c>
    </row>
    <row r="284" spans="1:6">
      <c r="A284">
        <v>1283</v>
      </c>
      <c r="B284" s="2">
        <v>45359.26666666667</v>
      </c>
      <c r="C284" t="str">
        <f>VLOOKUP(A284, user_table!$A:$B, 2, FALSE)</f>
        <v>Male</v>
      </c>
      <c r="D284" t="str">
        <f>VLOOKUP(A284, user_table!$A:$F, 5, FALSE)</f>
        <v>Mobile</v>
      </c>
      <c r="E284" t="str">
        <f>VLOOKUP(A284, user_table!$A:$F, 6, FALSE)</f>
        <v>Organic</v>
      </c>
      <c r="F284" s="1" t="str">
        <f>IF(ISNUMBER(MATCH(A284, search_page!$A:$A, 0)), "Yes", "No")</f>
        <v>No</v>
      </c>
    </row>
    <row r="285" spans="1:6">
      <c r="A285">
        <v>1284</v>
      </c>
      <c r="B285" s="2">
        <v>45345.597916666666</v>
      </c>
      <c r="C285" t="str">
        <f>VLOOKUP(A285, user_table!$A:$B, 2, FALSE)</f>
        <v>Male</v>
      </c>
      <c r="D285" t="str">
        <f>VLOOKUP(A285, user_table!$A:$F, 5, FALSE)</f>
        <v>Desktop</v>
      </c>
      <c r="E285" t="str">
        <f>VLOOKUP(A285, user_table!$A:$F, 6, FALSE)</f>
        <v>Organic</v>
      </c>
      <c r="F285" s="1" t="str">
        <f>IF(ISNUMBER(MATCH(A285, search_page!$A:$A, 0)), "Yes", "No")</f>
        <v>Yes</v>
      </c>
    </row>
    <row r="286" spans="1:6">
      <c r="A286">
        <v>1285</v>
      </c>
      <c r="B286" s="2">
        <v>45312.47152777778</v>
      </c>
      <c r="C286" t="str">
        <f>VLOOKUP(A286, user_table!$A:$B, 2, FALSE)</f>
        <v>Female</v>
      </c>
      <c r="D286" t="str">
        <f>VLOOKUP(A286, user_table!$A:$F, 5, FALSE)</f>
        <v>Mobile</v>
      </c>
      <c r="E286" t="str">
        <f>VLOOKUP(A286, user_table!$A:$F, 6, FALSE)</f>
        <v>Social</v>
      </c>
      <c r="F286" s="1" t="str">
        <f>IF(ISNUMBER(MATCH(A286, search_page!$A:$A, 0)), "Yes", "No")</f>
        <v>Yes</v>
      </c>
    </row>
    <row r="287" spans="1:6">
      <c r="A287">
        <v>1286</v>
      </c>
      <c r="B287" s="2">
        <v>45333.776388888888</v>
      </c>
      <c r="C287" t="str">
        <f>VLOOKUP(A287, user_table!$A:$B, 2, FALSE)</f>
        <v>Male</v>
      </c>
      <c r="D287" t="str">
        <f>VLOOKUP(A287, user_table!$A:$F, 5, FALSE)</f>
        <v>Mobile</v>
      </c>
      <c r="E287" t="str">
        <f>VLOOKUP(A287, user_table!$A:$F, 6, FALSE)</f>
        <v>Social</v>
      </c>
      <c r="F287" s="1" t="str">
        <f>IF(ISNUMBER(MATCH(A287, search_page!$A:$A, 0)), "Yes", "No")</f>
        <v>Yes</v>
      </c>
    </row>
    <row r="288" spans="1:6">
      <c r="A288">
        <v>1287</v>
      </c>
      <c r="B288" s="2">
        <v>45302.04791666667</v>
      </c>
      <c r="C288" t="str">
        <f>VLOOKUP(A288, user_table!$A:$B, 2, FALSE)</f>
        <v>Male</v>
      </c>
      <c r="D288" t="str">
        <f>VLOOKUP(A288, user_table!$A:$F, 5, FALSE)</f>
        <v>Desktop</v>
      </c>
      <c r="E288" t="str">
        <f>VLOOKUP(A288, user_table!$A:$F, 6, FALSE)</f>
        <v>Organic</v>
      </c>
      <c r="F288" s="1" t="str">
        <f>IF(ISNUMBER(MATCH(A288, search_page!$A:$A, 0)), "Yes", "No")</f>
        <v>No</v>
      </c>
    </row>
    <row r="289" spans="1:6">
      <c r="A289">
        <v>1288</v>
      </c>
      <c r="B289" s="2">
        <v>45312.793749999997</v>
      </c>
      <c r="C289" t="str">
        <f>VLOOKUP(A289, user_table!$A:$B, 2, FALSE)</f>
        <v>Female</v>
      </c>
      <c r="D289" t="str">
        <f>VLOOKUP(A289, user_table!$A:$F, 5, FALSE)</f>
        <v>Tablet</v>
      </c>
      <c r="E289" t="str">
        <f>VLOOKUP(A289, user_table!$A:$F, 6, FALSE)</f>
        <v>Organic</v>
      </c>
      <c r="F289" s="1" t="str">
        <f>IF(ISNUMBER(MATCH(A289, search_page!$A:$A, 0)), "Yes", "No")</f>
        <v>No</v>
      </c>
    </row>
    <row r="290" spans="1:6">
      <c r="A290">
        <v>1289</v>
      </c>
      <c r="B290" s="2">
        <v>45378.095138888886</v>
      </c>
      <c r="C290" t="str">
        <f>VLOOKUP(A290, user_table!$A:$B, 2, FALSE)</f>
        <v>Male</v>
      </c>
      <c r="D290" t="str">
        <f>VLOOKUP(A290, user_table!$A:$F, 5, FALSE)</f>
        <v>Mobile</v>
      </c>
      <c r="E290" t="str">
        <f>VLOOKUP(A290, user_table!$A:$F, 6, FALSE)</f>
        <v>Organic</v>
      </c>
      <c r="F290" s="1" t="str">
        <f>IF(ISNUMBER(MATCH(A290, search_page!$A:$A, 0)), "Yes", "No")</f>
        <v>Yes</v>
      </c>
    </row>
    <row r="291" spans="1:6">
      <c r="A291">
        <v>1290</v>
      </c>
      <c r="B291" s="2">
        <v>45348.893750000003</v>
      </c>
      <c r="C291" t="str">
        <f>VLOOKUP(A291, user_table!$A:$B, 2, FALSE)</f>
        <v>Female</v>
      </c>
      <c r="D291" t="str">
        <f>VLOOKUP(A291, user_table!$A:$F, 5, FALSE)</f>
        <v>Mobile</v>
      </c>
      <c r="E291" t="str">
        <f>VLOOKUP(A291, user_table!$A:$F, 6, FALSE)</f>
        <v>Email</v>
      </c>
      <c r="F291" s="1" t="str">
        <f>IF(ISNUMBER(MATCH(A291, search_page!$A:$A, 0)), "Yes", "No")</f>
        <v>No</v>
      </c>
    </row>
    <row r="292" spans="1:6">
      <c r="A292">
        <v>1291</v>
      </c>
      <c r="B292" s="2">
        <v>45354.811111111114</v>
      </c>
      <c r="C292" t="str">
        <f>VLOOKUP(A292, user_table!$A:$B, 2, FALSE)</f>
        <v>Male</v>
      </c>
      <c r="D292" t="str">
        <f>VLOOKUP(A292, user_table!$A:$F, 5, FALSE)</f>
        <v>Mobile</v>
      </c>
      <c r="E292" t="str">
        <f>VLOOKUP(A292, user_table!$A:$F, 6, FALSE)</f>
        <v>Direct</v>
      </c>
      <c r="F292" s="1" t="str">
        <f>IF(ISNUMBER(MATCH(A292, search_page!$A:$A, 0)), "Yes", "No")</f>
        <v>No</v>
      </c>
    </row>
    <row r="293" spans="1:6">
      <c r="A293">
        <v>1292</v>
      </c>
      <c r="B293" s="2">
        <v>45345.342361111114</v>
      </c>
      <c r="C293" t="str">
        <f>VLOOKUP(A293, user_table!$A:$B, 2, FALSE)</f>
        <v>Male</v>
      </c>
      <c r="D293" t="str">
        <f>VLOOKUP(A293, user_table!$A:$F, 5, FALSE)</f>
        <v>Desktop</v>
      </c>
      <c r="E293" t="str">
        <f>VLOOKUP(A293, user_table!$A:$F, 6, FALSE)</f>
        <v>Organic</v>
      </c>
      <c r="F293" s="1" t="str">
        <f>IF(ISNUMBER(MATCH(A293, search_page!$A:$A, 0)), "Yes", "No")</f>
        <v>Yes</v>
      </c>
    </row>
    <row r="294" spans="1:6">
      <c r="A294">
        <v>1293</v>
      </c>
      <c r="B294" s="2">
        <v>45357.140277777777</v>
      </c>
      <c r="C294" t="str">
        <f>VLOOKUP(A294, user_table!$A:$B, 2, FALSE)</f>
        <v>Female</v>
      </c>
      <c r="D294" t="str">
        <f>VLOOKUP(A294, user_table!$A:$F, 5, FALSE)</f>
        <v>Tablet</v>
      </c>
      <c r="E294" t="str">
        <f>VLOOKUP(A294, user_table!$A:$F, 6, FALSE)</f>
        <v>Organic</v>
      </c>
      <c r="F294" s="1" t="str">
        <f>IF(ISNUMBER(MATCH(A294, search_page!$A:$A, 0)), "Yes", "No")</f>
        <v>Yes</v>
      </c>
    </row>
    <row r="295" spans="1:6">
      <c r="A295">
        <v>1294</v>
      </c>
      <c r="B295" s="2">
        <v>45347.137499999997</v>
      </c>
      <c r="C295" t="str">
        <f>VLOOKUP(A295, user_table!$A:$B, 2, FALSE)</f>
        <v>Male</v>
      </c>
      <c r="D295" t="str">
        <f>VLOOKUP(A295, user_table!$A:$F, 5, FALSE)</f>
        <v>Mobile</v>
      </c>
      <c r="E295" t="str">
        <f>VLOOKUP(A295, user_table!$A:$F, 6, FALSE)</f>
        <v>Email</v>
      </c>
      <c r="F295" s="1" t="str">
        <f>IF(ISNUMBER(MATCH(A295, search_page!$A:$A, 0)), "Yes", "No")</f>
        <v>No</v>
      </c>
    </row>
    <row r="296" spans="1:6">
      <c r="A296">
        <v>1295</v>
      </c>
      <c r="B296" s="2">
        <v>45378.900694444441</v>
      </c>
      <c r="C296" t="str">
        <f>VLOOKUP(A296, user_table!$A:$B, 2, FALSE)</f>
        <v>Male</v>
      </c>
      <c r="D296" t="str">
        <f>VLOOKUP(A296, user_table!$A:$F, 5, FALSE)</f>
        <v>Mobile</v>
      </c>
      <c r="E296" t="str">
        <f>VLOOKUP(A296, user_table!$A:$F, 6, FALSE)</f>
        <v>Direct</v>
      </c>
      <c r="F296" s="1" t="str">
        <f>IF(ISNUMBER(MATCH(A296, search_page!$A:$A, 0)), "Yes", "No")</f>
        <v>No</v>
      </c>
    </row>
    <row r="297" spans="1:6">
      <c r="A297">
        <v>1296</v>
      </c>
      <c r="B297" s="2">
        <v>45354.695833333331</v>
      </c>
      <c r="C297" t="str">
        <f>VLOOKUP(A297, user_table!$A:$B, 2, FALSE)</f>
        <v>Female</v>
      </c>
      <c r="D297" t="str">
        <f>VLOOKUP(A297, user_table!$A:$F, 5, FALSE)</f>
        <v>Tablet</v>
      </c>
      <c r="E297" t="str">
        <f>VLOOKUP(A297, user_table!$A:$F, 6, FALSE)</f>
        <v>Paid</v>
      </c>
      <c r="F297" s="1" t="str">
        <f>IF(ISNUMBER(MATCH(A297, search_page!$A:$A, 0)), "Yes", "No")</f>
        <v>Yes</v>
      </c>
    </row>
    <row r="298" spans="1:6">
      <c r="A298">
        <v>1297</v>
      </c>
      <c r="B298" s="2">
        <v>45331.051388888889</v>
      </c>
      <c r="C298" t="str">
        <f>VLOOKUP(A298, user_table!$A:$B, 2, FALSE)</f>
        <v>Female</v>
      </c>
      <c r="D298" t="str">
        <f>VLOOKUP(A298, user_table!$A:$F, 5, FALSE)</f>
        <v>Desktop</v>
      </c>
      <c r="E298" t="str">
        <f>VLOOKUP(A298, user_table!$A:$F, 6, FALSE)</f>
        <v>Organic</v>
      </c>
      <c r="F298" s="1" t="str">
        <f>IF(ISNUMBER(MATCH(A298, search_page!$A:$A, 0)), "Yes", "No")</f>
        <v>Yes</v>
      </c>
    </row>
    <row r="299" spans="1:6">
      <c r="A299">
        <v>1298</v>
      </c>
      <c r="B299" s="2">
        <v>45342.793749999997</v>
      </c>
      <c r="C299" t="str">
        <f>VLOOKUP(A299, user_table!$A:$B, 2, FALSE)</f>
        <v>Male</v>
      </c>
      <c r="D299" t="str">
        <f>VLOOKUP(A299, user_table!$A:$F, 5, FALSE)</f>
        <v>Mobile</v>
      </c>
      <c r="E299" t="str">
        <f>VLOOKUP(A299, user_table!$A:$F, 6, FALSE)</f>
        <v>Organic</v>
      </c>
      <c r="F299" s="1" t="str">
        <f>IF(ISNUMBER(MATCH(A299, search_page!$A:$A, 0)), "Yes", "No")</f>
        <v>Yes</v>
      </c>
    </row>
    <row r="300" spans="1:6">
      <c r="A300">
        <v>1299</v>
      </c>
      <c r="B300" s="2">
        <v>45292.263194444444</v>
      </c>
      <c r="C300" t="str">
        <f>VLOOKUP(A300, user_table!$A:$B, 2, FALSE)</f>
        <v>Female</v>
      </c>
      <c r="D300" t="str">
        <f>VLOOKUP(A300, user_table!$A:$F, 5, FALSE)</f>
        <v>Desktop</v>
      </c>
      <c r="E300" t="str">
        <f>VLOOKUP(A300, user_table!$A:$F, 6, FALSE)</f>
        <v>Social</v>
      </c>
      <c r="F300" s="1" t="str">
        <f>IF(ISNUMBER(MATCH(A300, search_page!$A:$A, 0)), "Yes", "No")</f>
        <v>No</v>
      </c>
    </row>
    <row r="301" spans="1:6">
      <c r="A301">
        <v>1300</v>
      </c>
      <c r="B301" s="2">
        <v>45319.199999999997</v>
      </c>
      <c r="C301" t="str">
        <f>VLOOKUP(A301, user_table!$A:$B, 2, FALSE)</f>
        <v>Male</v>
      </c>
      <c r="D301" t="str">
        <f>VLOOKUP(A301, user_table!$A:$F, 5, FALSE)</f>
        <v>Desktop</v>
      </c>
      <c r="E301" t="str">
        <f>VLOOKUP(A301, user_table!$A:$F, 6, FALSE)</f>
        <v>Paid</v>
      </c>
      <c r="F301" s="1" t="str">
        <f>IF(ISNUMBER(MATCH(A301, search_page!$A:$A, 0)), "Yes", "No")</f>
        <v>No</v>
      </c>
    </row>
    <row r="302" spans="1:6">
      <c r="A302">
        <v>1301</v>
      </c>
      <c r="B302" s="2">
        <v>45324.388888888891</v>
      </c>
      <c r="C302" t="str">
        <f>VLOOKUP(A302, user_table!$A:$B, 2, FALSE)</f>
        <v>Male</v>
      </c>
      <c r="D302" t="str">
        <f>VLOOKUP(A302, user_table!$A:$F, 5, FALSE)</f>
        <v>Desktop</v>
      </c>
      <c r="E302" t="str">
        <f>VLOOKUP(A302, user_table!$A:$F, 6, FALSE)</f>
        <v>Organic</v>
      </c>
      <c r="F302" s="1" t="str">
        <f>IF(ISNUMBER(MATCH(A302, search_page!$A:$A, 0)), "Yes", "No")</f>
        <v>Yes</v>
      </c>
    </row>
    <row r="303" spans="1:6">
      <c r="A303">
        <v>1302</v>
      </c>
      <c r="B303" s="2">
        <v>45307.021527777775</v>
      </c>
      <c r="C303" t="str">
        <f>VLOOKUP(A303, user_table!$A:$B, 2, FALSE)</f>
        <v>Female</v>
      </c>
      <c r="D303" t="str">
        <f>VLOOKUP(A303, user_table!$A:$F, 5, FALSE)</f>
        <v>Tablet</v>
      </c>
      <c r="E303" t="str">
        <f>VLOOKUP(A303, user_table!$A:$F, 6, FALSE)</f>
        <v>Social</v>
      </c>
      <c r="F303" s="1" t="str">
        <f>IF(ISNUMBER(MATCH(A303, search_page!$A:$A, 0)), "Yes", "No")</f>
        <v>No</v>
      </c>
    </row>
    <row r="304" spans="1:6">
      <c r="A304">
        <v>1303</v>
      </c>
      <c r="B304" s="2">
        <v>45347.213888888888</v>
      </c>
      <c r="C304" t="str">
        <f>VLOOKUP(A304, user_table!$A:$B, 2, FALSE)</f>
        <v>Female</v>
      </c>
      <c r="D304" t="str">
        <f>VLOOKUP(A304, user_table!$A:$F, 5, FALSE)</f>
        <v>Tablet</v>
      </c>
      <c r="E304" t="str">
        <f>VLOOKUP(A304, user_table!$A:$F, 6, FALSE)</f>
        <v>Organic</v>
      </c>
      <c r="F304" s="1" t="str">
        <f>IF(ISNUMBER(MATCH(A304, search_page!$A:$A, 0)), "Yes", "No")</f>
        <v>No</v>
      </c>
    </row>
    <row r="305" spans="1:6">
      <c r="A305">
        <v>1304</v>
      </c>
      <c r="B305" s="2">
        <v>45340.739583333336</v>
      </c>
      <c r="C305" t="str">
        <f>VLOOKUP(A305, user_table!$A:$B, 2, FALSE)</f>
        <v>Female</v>
      </c>
      <c r="D305" t="str">
        <f>VLOOKUP(A305, user_table!$A:$F, 5, FALSE)</f>
        <v>Mobile</v>
      </c>
      <c r="E305" t="str">
        <f>VLOOKUP(A305, user_table!$A:$F, 6, FALSE)</f>
        <v>Email</v>
      </c>
      <c r="F305" s="1" t="str">
        <f>IF(ISNUMBER(MATCH(A305, search_page!$A:$A, 0)), "Yes", "No")</f>
        <v>Yes</v>
      </c>
    </row>
    <row r="306" spans="1:6">
      <c r="A306">
        <v>1305</v>
      </c>
      <c r="B306" s="2">
        <v>45321.690972222219</v>
      </c>
      <c r="C306" t="str">
        <f>VLOOKUP(A306, user_table!$A:$B, 2, FALSE)</f>
        <v>Female</v>
      </c>
      <c r="D306" t="str">
        <f>VLOOKUP(A306, user_table!$A:$F, 5, FALSE)</f>
        <v>Mobile</v>
      </c>
      <c r="E306" t="str">
        <f>VLOOKUP(A306, user_table!$A:$F, 6, FALSE)</f>
        <v>Paid</v>
      </c>
      <c r="F306" s="1" t="str">
        <f>IF(ISNUMBER(MATCH(A306, search_page!$A:$A, 0)), "Yes", "No")</f>
        <v>No</v>
      </c>
    </row>
    <row r="307" spans="1:6">
      <c r="A307">
        <v>1306</v>
      </c>
      <c r="B307" s="2">
        <v>45377.461111111108</v>
      </c>
      <c r="C307" t="str">
        <f>VLOOKUP(A307, user_table!$A:$B, 2, FALSE)</f>
        <v>Female</v>
      </c>
      <c r="D307" t="str">
        <f>VLOOKUP(A307, user_table!$A:$F, 5, FALSE)</f>
        <v>Mobile</v>
      </c>
      <c r="E307" t="str">
        <f>VLOOKUP(A307, user_table!$A:$F, 6, FALSE)</f>
        <v>Organic</v>
      </c>
      <c r="F307" s="1" t="str">
        <f>IF(ISNUMBER(MATCH(A307, search_page!$A:$A, 0)), "Yes", "No")</f>
        <v>Yes</v>
      </c>
    </row>
    <row r="308" spans="1:6">
      <c r="A308">
        <v>1307</v>
      </c>
      <c r="B308" s="2">
        <v>45342.959722222222</v>
      </c>
      <c r="C308" t="str">
        <f>VLOOKUP(A308, user_table!$A:$B, 2, FALSE)</f>
        <v>Male</v>
      </c>
      <c r="D308" t="str">
        <f>VLOOKUP(A308, user_table!$A:$F, 5, FALSE)</f>
        <v>Tablet</v>
      </c>
      <c r="E308" t="str">
        <f>VLOOKUP(A308, user_table!$A:$F, 6, FALSE)</f>
        <v>Social</v>
      </c>
      <c r="F308" s="1" t="str">
        <f>IF(ISNUMBER(MATCH(A308, search_page!$A:$A, 0)), "Yes", "No")</f>
        <v>Yes</v>
      </c>
    </row>
    <row r="309" spans="1:6">
      <c r="A309">
        <v>1308</v>
      </c>
      <c r="B309" s="2">
        <v>45347.020138888889</v>
      </c>
      <c r="C309" t="str">
        <f>VLOOKUP(A309, user_table!$A:$B, 2, FALSE)</f>
        <v>Male</v>
      </c>
      <c r="D309" t="str">
        <f>VLOOKUP(A309, user_table!$A:$F, 5, FALSE)</f>
        <v>Desktop</v>
      </c>
      <c r="E309" t="str">
        <f>VLOOKUP(A309, user_table!$A:$F, 6, FALSE)</f>
        <v>Paid</v>
      </c>
      <c r="F309" s="1" t="str">
        <f>IF(ISNUMBER(MATCH(A309, search_page!$A:$A, 0)), "Yes", "No")</f>
        <v>Yes</v>
      </c>
    </row>
    <row r="310" spans="1:6">
      <c r="A310">
        <v>1309</v>
      </c>
      <c r="B310" s="2">
        <v>45301.441666666666</v>
      </c>
      <c r="C310" t="str">
        <f>VLOOKUP(A310, user_table!$A:$B, 2, FALSE)</f>
        <v>Female</v>
      </c>
      <c r="D310" t="str">
        <f>VLOOKUP(A310, user_table!$A:$F, 5, FALSE)</f>
        <v>Desktop</v>
      </c>
      <c r="E310" t="str">
        <f>VLOOKUP(A310, user_table!$A:$F, 6, FALSE)</f>
        <v>Direct</v>
      </c>
      <c r="F310" s="1" t="str">
        <f>IF(ISNUMBER(MATCH(A310, search_page!$A:$A, 0)), "Yes", "No")</f>
        <v>No</v>
      </c>
    </row>
    <row r="311" spans="1:6">
      <c r="A311">
        <v>1310</v>
      </c>
      <c r="B311" s="2">
        <v>45346.767361111109</v>
      </c>
      <c r="C311" t="str">
        <f>VLOOKUP(A311, user_table!$A:$B, 2, FALSE)</f>
        <v>Male</v>
      </c>
      <c r="D311" t="str">
        <f>VLOOKUP(A311, user_table!$A:$F, 5, FALSE)</f>
        <v>Desktop</v>
      </c>
      <c r="E311" t="str">
        <f>VLOOKUP(A311, user_table!$A:$F, 6, FALSE)</f>
        <v>Paid</v>
      </c>
      <c r="F311" s="1" t="str">
        <f>IF(ISNUMBER(MATCH(A311, search_page!$A:$A, 0)), "Yes", "No")</f>
        <v>Yes</v>
      </c>
    </row>
    <row r="312" spans="1:6">
      <c r="A312">
        <v>1311</v>
      </c>
      <c r="B312" s="2">
        <v>45373.554166666669</v>
      </c>
      <c r="C312" t="str">
        <f>VLOOKUP(A312, user_table!$A:$B, 2, FALSE)</f>
        <v>Male</v>
      </c>
      <c r="D312" t="str">
        <f>VLOOKUP(A312, user_table!$A:$F, 5, FALSE)</f>
        <v>Mobile</v>
      </c>
      <c r="E312" t="str">
        <f>VLOOKUP(A312, user_table!$A:$F, 6, FALSE)</f>
        <v>Organic</v>
      </c>
      <c r="F312" s="1" t="str">
        <f>IF(ISNUMBER(MATCH(A312, search_page!$A:$A, 0)), "Yes", "No")</f>
        <v>Yes</v>
      </c>
    </row>
    <row r="313" spans="1:6">
      <c r="A313">
        <v>1312</v>
      </c>
      <c r="B313" s="2">
        <v>45306.500694444447</v>
      </c>
      <c r="C313" t="str">
        <f>VLOOKUP(A313, user_table!$A:$B, 2, FALSE)</f>
        <v>Male</v>
      </c>
      <c r="D313" t="str">
        <f>VLOOKUP(A313, user_table!$A:$F, 5, FALSE)</f>
        <v>Mobile</v>
      </c>
      <c r="E313" t="str">
        <f>VLOOKUP(A313, user_table!$A:$F, 6, FALSE)</f>
        <v>Social</v>
      </c>
      <c r="F313" s="1" t="str">
        <f>IF(ISNUMBER(MATCH(A313, search_page!$A:$A, 0)), "Yes", "No")</f>
        <v>No</v>
      </c>
    </row>
    <row r="314" spans="1:6">
      <c r="A314">
        <v>1313</v>
      </c>
      <c r="B314" s="2">
        <v>45333.243750000001</v>
      </c>
      <c r="C314" t="str">
        <f>VLOOKUP(A314, user_table!$A:$B, 2, FALSE)</f>
        <v>Male</v>
      </c>
      <c r="D314" t="str">
        <f>VLOOKUP(A314, user_table!$A:$F, 5, FALSE)</f>
        <v>Desktop</v>
      </c>
      <c r="E314" t="str">
        <f>VLOOKUP(A314, user_table!$A:$F, 6, FALSE)</f>
        <v>Organic</v>
      </c>
      <c r="F314" s="1" t="str">
        <f>IF(ISNUMBER(MATCH(A314, search_page!$A:$A, 0)), "Yes", "No")</f>
        <v>Yes</v>
      </c>
    </row>
    <row r="315" spans="1:6">
      <c r="A315">
        <v>1314</v>
      </c>
      <c r="B315" s="2">
        <v>45371.620138888888</v>
      </c>
      <c r="C315" t="str">
        <f>VLOOKUP(A315, user_table!$A:$B, 2, FALSE)</f>
        <v>Female</v>
      </c>
      <c r="D315" t="str">
        <f>VLOOKUP(A315, user_table!$A:$F, 5, FALSE)</f>
        <v>Desktop</v>
      </c>
      <c r="E315" t="str">
        <f>VLOOKUP(A315, user_table!$A:$F, 6, FALSE)</f>
        <v>Direct</v>
      </c>
      <c r="F315" s="1" t="str">
        <f>IF(ISNUMBER(MATCH(A315, search_page!$A:$A, 0)), "Yes", "No")</f>
        <v>No</v>
      </c>
    </row>
    <row r="316" spans="1:6">
      <c r="A316">
        <v>1315</v>
      </c>
      <c r="B316" s="2">
        <v>45380.461805555555</v>
      </c>
      <c r="C316" t="str">
        <f>VLOOKUP(A316, user_table!$A:$B, 2, FALSE)</f>
        <v>Female</v>
      </c>
      <c r="D316" t="str">
        <f>VLOOKUP(A316, user_table!$A:$F, 5, FALSE)</f>
        <v>Mobile</v>
      </c>
      <c r="E316" t="str">
        <f>VLOOKUP(A316, user_table!$A:$F, 6, FALSE)</f>
        <v>Paid</v>
      </c>
      <c r="F316" s="1" t="str">
        <f>IF(ISNUMBER(MATCH(A316, search_page!$A:$A, 0)), "Yes", "No")</f>
        <v>Yes</v>
      </c>
    </row>
    <row r="317" spans="1:6">
      <c r="A317">
        <v>1316</v>
      </c>
      <c r="B317" s="2">
        <v>45347.135416666664</v>
      </c>
      <c r="C317" t="str">
        <f>VLOOKUP(A317, user_table!$A:$B, 2, FALSE)</f>
        <v>Female</v>
      </c>
      <c r="D317" t="str">
        <f>VLOOKUP(A317, user_table!$A:$F, 5, FALSE)</f>
        <v>Desktop</v>
      </c>
      <c r="E317" t="str">
        <f>VLOOKUP(A317, user_table!$A:$F, 6, FALSE)</f>
        <v>Paid</v>
      </c>
      <c r="F317" s="1" t="str">
        <f>IF(ISNUMBER(MATCH(A317, search_page!$A:$A, 0)), "Yes", "No")</f>
        <v>Yes</v>
      </c>
    </row>
    <row r="318" spans="1:6">
      <c r="A318">
        <v>1317</v>
      </c>
      <c r="B318" s="2">
        <v>45347.767361111109</v>
      </c>
      <c r="C318" t="str">
        <f>VLOOKUP(A318, user_table!$A:$B, 2, FALSE)</f>
        <v>Male</v>
      </c>
      <c r="D318" t="str">
        <f>VLOOKUP(A318, user_table!$A:$F, 5, FALSE)</f>
        <v>Mobile</v>
      </c>
      <c r="E318" t="str">
        <f>VLOOKUP(A318, user_table!$A:$F, 6, FALSE)</f>
        <v>Organic</v>
      </c>
      <c r="F318" s="1" t="str">
        <f>IF(ISNUMBER(MATCH(A318, search_page!$A:$A, 0)), "Yes", "No")</f>
        <v>No</v>
      </c>
    </row>
    <row r="319" spans="1:6">
      <c r="A319">
        <v>1318</v>
      </c>
      <c r="B319" s="2">
        <v>45359.100694444445</v>
      </c>
      <c r="C319" t="str">
        <f>VLOOKUP(A319, user_table!$A:$B, 2, FALSE)</f>
        <v>Male</v>
      </c>
      <c r="D319" t="str">
        <f>VLOOKUP(A319, user_table!$A:$F, 5, FALSE)</f>
        <v>Tablet</v>
      </c>
      <c r="E319" t="str">
        <f>VLOOKUP(A319, user_table!$A:$F, 6, FALSE)</f>
        <v>Paid</v>
      </c>
      <c r="F319" s="1" t="str">
        <f>IF(ISNUMBER(MATCH(A319, search_page!$A:$A, 0)), "Yes", "No")</f>
        <v>No</v>
      </c>
    </row>
    <row r="320" spans="1:6">
      <c r="A320">
        <v>1319</v>
      </c>
      <c r="B320" s="2">
        <v>45331.972916666666</v>
      </c>
      <c r="C320" t="str">
        <f>VLOOKUP(A320, user_table!$A:$B, 2, FALSE)</f>
        <v>Male</v>
      </c>
      <c r="D320" t="str">
        <f>VLOOKUP(A320, user_table!$A:$F, 5, FALSE)</f>
        <v>Desktop</v>
      </c>
      <c r="E320" t="str">
        <f>VLOOKUP(A320, user_table!$A:$F, 6, FALSE)</f>
        <v>Email</v>
      </c>
      <c r="F320" s="1" t="str">
        <f>IF(ISNUMBER(MATCH(A320, search_page!$A:$A, 0)), "Yes", "No")</f>
        <v>No</v>
      </c>
    </row>
    <row r="321" spans="1:6">
      <c r="A321">
        <v>1320</v>
      </c>
      <c r="B321" s="2">
        <v>45320.450694444444</v>
      </c>
      <c r="C321" t="str">
        <f>VLOOKUP(A321, user_table!$A:$B, 2, FALSE)</f>
        <v>Male</v>
      </c>
      <c r="D321" t="str">
        <f>VLOOKUP(A321, user_table!$A:$F, 5, FALSE)</f>
        <v>Desktop</v>
      </c>
      <c r="E321" t="str">
        <f>VLOOKUP(A321, user_table!$A:$F, 6, FALSE)</f>
        <v>Email</v>
      </c>
      <c r="F321" s="1" t="str">
        <f>IF(ISNUMBER(MATCH(A321, search_page!$A:$A, 0)), "Yes", "No")</f>
        <v>Yes</v>
      </c>
    </row>
    <row r="322" spans="1:6">
      <c r="A322">
        <v>1321</v>
      </c>
      <c r="B322" s="2">
        <v>45313.105555555558</v>
      </c>
      <c r="C322" t="str">
        <f>VLOOKUP(A322, user_table!$A:$B, 2, FALSE)</f>
        <v>Female</v>
      </c>
      <c r="D322" t="str">
        <f>VLOOKUP(A322, user_table!$A:$F, 5, FALSE)</f>
        <v>Mobile</v>
      </c>
      <c r="E322" t="str">
        <f>VLOOKUP(A322, user_table!$A:$F, 6, FALSE)</f>
        <v>Organic</v>
      </c>
      <c r="F322" s="1" t="str">
        <f>IF(ISNUMBER(MATCH(A322, search_page!$A:$A, 0)), "Yes", "No")</f>
        <v>No</v>
      </c>
    </row>
    <row r="323" spans="1:6">
      <c r="A323">
        <v>1322</v>
      </c>
      <c r="B323" s="2">
        <v>45373.147916666669</v>
      </c>
      <c r="C323" t="str">
        <f>VLOOKUP(A323, user_table!$A:$B, 2, FALSE)</f>
        <v>Female</v>
      </c>
      <c r="D323" t="str">
        <f>VLOOKUP(A323, user_table!$A:$F, 5, FALSE)</f>
        <v>Mobile</v>
      </c>
      <c r="E323" t="str">
        <f>VLOOKUP(A323, user_table!$A:$F, 6, FALSE)</f>
        <v>Organic</v>
      </c>
      <c r="F323" s="1" t="str">
        <f>IF(ISNUMBER(MATCH(A323, search_page!$A:$A, 0)), "Yes", "No")</f>
        <v>Yes</v>
      </c>
    </row>
    <row r="324" spans="1:6">
      <c r="A324">
        <v>1323</v>
      </c>
      <c r="B324" s="2">
        <v>45357.289583333331</v>
      </c>
      <c r="C324" t="str">
        <f>VLOOKUP(A324, user_table!$A:$B, 2, FALSE)</f>
        <v>Female</v>
      </c>
      <c r="D324" t="str">
        <f>VLOOKUP(A324, user_table!$A:$F, 5, FALSE)</f>
        <v>Mobile</v>
      </c>
      <c r="E324" t="str">
        <f>VLOOKUP(A324, user_table!$A:$F, 6, FALSE)</f>
        <v>Email</v>
      </c>
      <c r="F324" s="1" t="str">
        <f>IF(ISNUMBER(MATCH(A324, search_page!$A:$A, 0)), "Yes", "No")</f>
        <v>Yes</v>
      </c>
    </row>
    <row r="325" spans="1:6">
      <c r="A325">
        <v>1324</v>
      </c>
      <c r="B325" s="2">
        <v>45336.490277777775</v>
      </c>
      <c r="C325" t="str">
        <f>VLOOKUP(A325, user_table!$A:$B, 2, FALSE)</f>
        <v>Male</v>
      </c>
      <c r="D325" t="str">
        <f>VLOOKUP(A325, user_table!$A:$F, 5, FALSE)</f>
        <v>Tablet</v>
      </c>
      <c r="E325" t="str">
        <f>VLOOKUP(A325, user_table!$A:$F, 6, FALSE)</f>
        <v>Direct</v>
      </c>
      <c r="F325" s="1" t="str">
        <f>IF(ISNUMBER(MATCH(A325, search_page!$A:$A, 0)), "Yes", "No")</f>
        <v>Yes</v>
      </c>
    </row>
    <row r="326" spans="1:6">
      <c r="A326">
        <v>1325</v>
      </c>
      <c r="B326" s="2">
        <v>45374.177083333336</v>
      </c>
      <c r="C326" t="str">
        <f>VLOOKUP(A326, user_table!$A:$B, 2, FALSE)</f>
        <v>Female</v>
      </c>
      <c r="D326" t="str">
        <f>VLOOKUP(A326, user_table!$A:$F, 5, FALSE)</f>
        <v>Desktop</v>
      </c>
      <c r="E326" t="str">
        <f>VLOOKUP(A326, user_table!$A:$F, 6, FALSE)</f>
        <v>Organic</v>
      </c>
      <c r="F326" s="1" t="str">
        <f>IF(ISNUMBER(MATCH(A326, search_page!$A:$A, 0)), "Yes", "No")</f>
        <v>No</v>
      </c>
    </row>
    <row r="327" spans="1:6">
      <c r="A327">
        <v>1326</v>
      </c>
      <c r="B327" s="2">
        <v>45305.177777777775</v>
      </c>
      <c r="C327" t="str">
        <f>VLOOKUP(A327, user_table!$A:$B, 2, FALSE)</f>
        <v>Female</v>
      </c>
      <c r="D327" t="str">
        <f>VLOOKUP(A327, user_table!$A:$F, 5, FALSE)</f>
        <v>Mobile</v>
      </c>
      <c r="E327" t="str">
        <f>VLOOKUP(A327, user_table!$A:$F, 6, FALSE)</f>
        <v>Paid</v>
      </c>
      <c r="F327" s="1" t="str">
        <f>IF(ISNUMBER(MATCH(A327, search_page!$A:$A, 0)), "Yes", "No")</f>
        <v>No</v>
      </c>
    </row>
    <row r="328" spans="1:6">
      <c r="A328">
        <v>1327</v>
      </c>
      <c r="B328" s="2">
        <v>45317.234722222223</v>
      </c>
      <c r="C328" t="str">
        <f>VLOOKUP(A328, user_table!$A:$B, 2, FALSE)</f>
        <v>Female</v>
      </c>
      <c r="D328" t="str">
        <f>VLOOKUP(A328, user_table!$A:$F, 5, FALSE)</f>
        <v>Mobile</v>
      </c>
      <c r="E328" t="str">
        <f>VLOOKUP(A328, user_table!$A:$F, 6, FALSE)</f>
        <v>Paid</v>
      </c>
      <c r="F328" s="1" t="str">
        <f>IF(ISNUMBER(MATCH(A328, search_page!$A:$A, 0)), "Yes", "No")</f>
        <v>No</v>
      </c>
    </row>
    <row r="329" spans="1:6">
      <c r="A329">
        <v>1328</v>
      </c>
      <c r="B329" s="2">
        <v>45311.836111111108</v>
      </c>
      <c r="C329" t="str">
        <f>VLOOKUP(A329, user_table!$A:$B, 2, FALSE)</f>
        <v>Female</v>
      </c>
      <c r="D329" t="str">
        <f>VLOOKUP(A329, user_table!$A:$F, 5, FALSE)</f>
        <v>Tablet</v>
      </c>
      <c r="E329" t="str">
        <f>VLOOKUP(A329, user_table!$A:$F, 6, FALSE)</f>
        <v>Email</v>
      </c>
      <c r="F329" s="1" t="str">
        <f>IF(ISNUMBER(MATCH(A329, search_page!$A:$A, 0)), "Yes", "No")</f>
        <v>No</v>
      </c>
    </row>
    <row r="330" spans="1:6">
      <c r="A330">
        <v>1329</v>
      </c>
      <c r="B330" s="2">
        <v>45314.854861111111</v>
      </c>
      <c r="C330" t="str">
        <f>VLOOKUP(A330, user_table!$A:$B, 2, FALSE)</f>
        <v>Male</v>
      </c>
      <c r="D330" t="str">
        <f>VLOOKUP(A330, user_table!$A:$F, 5, FALSE)</f>
        <v>Desktop</v>
      </c>
      <c r="E330" t="str">
        <f>VLOOKUP(A330, user_table!$A:$F, 6, FALSE)</f>
        <v>Organic</v>
      </c>
      <c r="F330" s="1" t="str">
        <f>IF(ISNUMBER(MATCH(A330, search_page!$A:$A, 0)), "Yes", "No")</f>
        <v>Yes</v>
      </c>
    </row>
    <row r="331" spans="1:6">
      <c r="A331">
        <v>1330</v>
      </c>
      <c r="B331" s="2">
        <v>45351.783333333333</v>
      </c>
      <c r="C331" t="str">
        <f>VLOOKUP(A331, user_table!$A:$B, 2, FALSE)</f>
        <v>Male</v>
      </c>
      <c r="D331" t="str">
        <f>VLOOKUP(A331, user_table!$A:$F, 5, FALSE)</f>
        <v>Mobile</v>
      </c>
      <c r="E331" t="str">
        <f>VLOOKUP(A331, user_table!$A:$F, 6, FALSE)</f>
        <v>Organic</v>
      </c>
      <c r="F331" s="1" t="str">
        <f>IF(ISNUMBER(MATCH(A331, search_page!$A:$A, 0)), "Yes", "No")</f>
        <v>No</v>
      </c>
    </row>
    <row r="332" spans="1:6">
      <c r="A332">
        <v>1331</v>
      </c>
      <c r="B332" s="2">
        <v>45366.613194444442</v>
      </c>
      <c r="C332" t="str">
        <f>VLOOKUP(A332, user_table!$A:$B, 2, FALSE)</f>
        <v>Male</v>
      </c>
      <c r="D332" t="str">
        <f>VLOOKUP(A332, user_table!$A:$F, 5, FALSE)</f>
        <v>Mobile</v>
      </c>
      <c r="E332" t="str">
        <f>VLOOKUP(A332, user_table!$A:$F, 6, FALSE)</f>
        <v>Email</v>
      </c>
      <c r="F332" s="1" t="str">
        <f>IF(ISNUMBER(MATCH(A332, search_page!$A:$A, 0)), "Yes", "No")</f>
        <v>No</v>
      </c>
    </row>
    <row r="333" spans="1:6">
      <c r="A333">
        <v>1332</v>
      </c>
      <c r="B333" s="2">
        <v>45364.861111111109</v>
      </c>
      <c r="C333" t="str">
        <f>VLOOKUP(A333, user_table!$A:$B, 2, FALSE)</f>
        <v>Female</v>
      </c>
      <c r="D333" t="str">
        <f>VLOOKUP(A333, user_table!$A:$F, 5, FALSE)</f>
        <v>Desktop</v>
      </c>
      <c r="E333" t="str">
        <f>VLOOKUP(A333, user_table!$A:$F, 6, FALSE)</f>
        <v>Organic</v>
      </c>
      <c r="F333" s="1" t="str">
        <f>IF(ISNUMBER(MATCH(A333, search_page!$A:$A, 0)), "Yes", "No")</f>
        <v>Yes</v>
      </c>
    </row>
    <row r="334" spans="1:6">
      <c r="A334">
        <v>1333</v>
      </c>
      <c r="B334" s="2">
        <v>45371.454861111109</v>
      </c>
      <c r="C334" t="str">
        <f>VLOOKUP(A334, user_table!$A:$B, 2, FALSE)</f>
        <v>Male</v>
      </c>
      <c r="D334" t="str">
        <f>VLOOKUP(A334, user_table!$A:$F, 5, FALSE)</f>
        <v>Desktop</v>
      </c>
      <c r="E334" t="str">
        <f>VLOOKUP(A334, user_table!$A:$F, 6, FALSE)</f>
        <v>Paid</v>
      </c>
      <c r="F334" s="1" t="str">
        <f>IF(ISNUMBER(MATCH(A334, search_page!$A:$A, 0)), "Yes", "No")</f>
        <v>Yes</v>
      </c>
    </row>
    <row r="335" spans="1:6">
      <c r="A335">
        <v>1334</v>
      </c>
      <c r="B335" s="2">
        <v>45372.42291666667</v>
      </c>
      <c r="C335" t="str">
        <f>VLOOKUP(A335, user_table!$A:$B, 2, FALSE)</f>
        <v>Male</v>
      </c>
      <c r="D335" t="str">
        <f>VLOOKUP(A335, user_table!$A:$F, 5, FALSE)</f>
        <v>Tablet</v>
      </c>
      <c r="E335" t="str">
        <f>VLOOKUP(A335, user_table!$A:$F, 6, FALSE)</f>
        <v>Paid</v>
      </c>
      <c r="F335" s="1" t="str">
        <f>IF(ISNUMBER(MATCH(A335, search_page!$A:$A, 0)), "Yes", "No")</f>
        <v>No</v>
      </c>
    </row>
    <row r="336" spans="1:6">
      <c r="A336">
        <v>1335</v>
      </c>
      <c r="B336" s="2">
        <v>45348.104166666664</v>
      </c>
      <c r="C336" t="str">
        <f>VLOOKUP(A336, user_table!$A:$B, 2, FALSE)</f>
        <v>Male</v>
      </c>
      <c r="D336" t="str">
        <f>VLOOKUP(A336, user_table!$A:$F, 5, FALSE)</f>
        <v>Desktop</v>
      </c>
      <c r="E336" t="str">
        <f>VLOOKUP(A336, user_table!$A:$F, 6, FALSE)</f>
        <v>Paid</v>
      </c>
      <c r="F336" s="1" t="str">
        <f>IF(ISNUMBER(MATCH(A336, search_page!$A:$A, 0)), "Yes", "No")</f>
        <v>No</v>
      </c>
    </row>
    <row r="337" spans="1:6">
      <c r="A337">
        <v>1336</v>
      </c>
      <c r="B337" s="2">
        <v>45348.84652777778</v>
      </c>
      <c r="C337" t="str">
        <f>VLOOKUP(A337, user_table!$A:$B, 2, FALSE)</f>
        <v>Male</v>
      </c>
      <c r="D337" t="str">
        <f>VLOOKUP(A337, user_table!$A:$F, 5, FALSE)</f>
        <v>Desktop</v>
      </c>
      <c r="E337" t="str">
        <f>VLOOKUP(A337, user_table!$A:$F, 6, FALSE)</f>
        <v>Paid</v>
      </c>
      <c r="F337" s="1" t="str">
        <f>IF(ISNUMBER(MATCH(A337, search_page!$A:$A, 0)), "Yes", "No")</f>
        <v>No</v>
      </c>
    </row>
    <row r="338" spans="1:6">
      <c r="A338">
        <v>1337</v>
      </c>
      <c r="B338" s="2">
        <v>45327.752083333333</v>
      </c>
      <c r="C338" t="str">
        <f>VLOOKUP(A338, user_table!$A:$B, 2, FALSE)</f>
        <v>Female</v>
      </c>
      <c r="D338" t="str">
        <f>VLOOKUP(A338, user_table!$A:$F, 5, FALSE)</f>
        <v>Desktop</v>
      </c>
      <c r="E338" t="str">
        <f>VLOOKUP(A338, user_table!$A:$F, 6, FALSE)</f>
        <v>Paid</v>
      </c>
      <c r="F338" s="1" t="str">
        <f>IF(ISNUMBER(MATCH(A338, search_page!$A:$A, 0)), "Yes", "No")</f>
        <v>No</v>
      </c>
    </row>
    <row r="339" spans="1:6">
      <c r="A339">
        <v>1338</v>
      </c>
      <c r="B339" s="2">
        <v>45337.669444444444</v>
      </c>
      <c r="C339" t="str">
        <f>VLOOKUP(A339, user_table!$A:$B, 2, FALSE)</f>
        <v>Female</v>
      </c>
      <c r="D339" t="str">
        <f>VLOOKUP(A339, user_table!$A:$F, 5, FALSE)</f>
        <v>Tablet</v>
      </c>
      <c r="E339" t="str">
        <f>VLOOKUP(A339, user_table!$A:$F, 6, FALSE)</f>
        <v>Organic</v>
      </c>
      <c r="F339" s="1" t="str">
        <f>IF(ISNUMBER(MATCH(A339, search_page!$A:$A, 0)), "Yes", "No")</f>
        <v>Yes</v>
      </c>
    </row>
    <row r="340" spans="1:6">
      <c r="A340">
        <v>1339</v>
      </c>
      <c r="B340" s="2">
        <v>45331.602777777778</v>
      </c>
      <c r="C340" t="str">
        <f>VLOOKUP(A340, user_table!$A:$B, 2, FALSE)</f>
        <v>Male</v>
      </c>
      <c r="D340" t="str">
        <f>VLOOKUP(A340, user_table!$A:$F, 5, FALSE)</f>
        <v>Mobile</v>
      </c>
      <c r="E340" t="str">
        <f>VLOOKUP(A340, user_table!$A:$F, 6, FALSE)</f>
        <v>Social</v>
      </c>
      <c r="F340" s="1" t="str">
        <f>IF(ISNUMBER(MATCH(A340, search_page!$A:$A, 0)), "Yes", "No")</f>
        <v>Yes</v>
      </c>
    </row>
    <row r="341" spans="1:6">
      <c r="A341">
        <v>1340</v>
      </c>
      <c r="B341" s="2">
        <v>45296.057638888888</v>
      </c>
      <c r="C341" t="str">
        <f>VLOOKUP(A341, user_table!$A:$B, 2, FALSE)</f>
        <v>Male</v>
      </c>
      <c r="D341" t="str">
        <f>VLOOKUP(A341, user_table!$A:$F, 5, FALSE)</f>
        <v>Mobile</v>
      </c>
      <c r="E341" t="str">
        <f>VLOOKUP(A341, user_table!$A:$F, 6, FALSE)</f>
        <v>Email</v>
      </c>
      <c r="F341" s="1" t="str">
        <f>IF(ISNUMBER(MATCH(A341, search_page!$A:$A, 0)), "Yes", "No")</f>
        <v>No</v>
      </c>
    </row>
    <row r="342" spans="1:6">
      <c r="A342">
        <v>1341</v>
      </c>
      <c r="B342" s="2">
        <v>45328.111805555556</v>
      </c>
      <c r="C342" t="str">
        <f>VLOOKUP(A342, user_table!$A:$B, 2, FALSE)</f>
        <v>Male</v>
      </c>
      <c r="D342" t="str">
        <f>VLOOKUP(A342, user_table!$A:$F, 5, FALSE)</f>
        <v>Desktop</v>
      </c>
      <c r="E342" t="str">
        <f>VLOOKUP(A342, user_table!$A:$F, 6, FALSE)</f>
        <v>Email</v>
      </c>
      <c r="F342" s="1" t="str">
        <f>IF(ISNUMBER(MATCH(A342, search_page!$A:$A, 0)), "Yes", "No")</f>
        <v>Yes</v>
      </c>
    </row>
    <row r="343" spans="1:6">
      <c r="A343">
        <v>1342</v>
      </c>
      <c r="B343" s="2">
        <v>45303.818055555559</v>
      </c>
      <c r="C343" t="str">
        <f>VLOOKUP(A343, user_table!$A:$B, 2, FALSE)</f>
        <v>Male</v>
      </c>
      <c r="D343" t="str">
        <f>VLOOKUP(A343, user_table!$A:$F, 5, FALSE)</f>
        <v>Mobile</v>
      </c>
      <c r="E343" t="str">
        <f>VLOOKUP(A343, user_table!$A:$F, 6, FALSE)</f>
        <v>Organic</v>
      </c>
      <c r="F343" s="1" t="str">
        <f>IF(ISNUMBER(MATCH(A343, search_page!$A:$A, 0)), "Yes", "No")</f>
        <v>Yes</v>
      </c>
    </row>
    <row r="344" spans="1:6">
      <c r="A344">
        <v>1343</v>
      </c>
      <c r="B344" s="2">
        <v>45356.520138888889</v>
      </c>
      <c r="C344" t="str">
        <f>VLOOKUP(A344, user_table!$A:$B, 2, FALSE)</f>
        <v>Male</v>
      </c>
      <c r="D344" t="str">
        <f>VLOOKUP(A344, user_table!$A:$F, 5, FALSE)</f>
        <v>Mobile</v>
      </c>
      <c r="E344" t="str">
        <f>VLOOKUP(A344, user_table!$A:$F, 6, FALSE)</f>
        <v>Organic</v>
      </c>
      <c r="F344" s="1" t="str">
        <f>IF(ISNUMBER(MATCH(A344, search_page!$A:$A, 0)), "Yes", "No")</f>
        <v>No</v>
      </c>
    </row>
    <row r="345" spans="1:6">
      <c r="A345">
        <v>1344</v>
      </c>
      <c r="B345" s="2">
        <v>45366.743055555555</v>
      </c>
      <c r="C345" t="str">
        <f>VLOOKUP(A345, user_table!$A:$B, 2, FALSE)</f>
        <v>Male</v>
      </c>
      <c r="D345" t="str">
        <f>VLOOKUP(A345, user_table!$A:$F, 5, FALSE)</f>
        <v>Mobile</v>
      </c>
      <c r="E345" t="str">
        <f>VLOOKUP(A345, user_table!$A:$F, 6, FALSE)</f>
        <v>Organic</v>
      </c>
      <c r="F345" s="1" t="str">
        <f>IF(ISNUMBER(MATCH(A345, search_page!$A:$A, 0)), "Yes", "No")</f>
        <v>Yes</v>
      </c>
    </row>
    <row r="346" spans="1:6">
      <c r="A346">
        <v>1345</v>
      </c>
      <c r="B346" s="2">
        <v>45297.623611111114</v>
      </c>
      <c r="C346" t="str">
        <f>VLOOKUP(A346, user_table!$A:$B, 2, FALSE)</f>
        <v>Male</v>
      </c>
      <c r="D346" t="str">
        <f>VLOOKUP(A346, user_table!$A:$F, 5, FALSE)</f>
        <v>Tablet</v>
      </c>
      <c r="E346" t="str">
        <f>VLOOKUP(A346, user_table!$A:$F, 6, FALSE)</f>
        <v>Paid</v>
      </c>
      <c r="F346" s="1" t="str">
        <f>IF(ISNUMBER(MATCH(A346, search_page!$A:$A, 0)), "Yes", "No")</f>
        <v>Yes</v>
      </c>
    </row>
    <row r="347" spans="1:6">
      <c r="A347">
        <v>1346</v>
      </c>
      <c r="B347" s="2">
        <v>45365.841666666667</v>
      </c>
      <c r="C347" t="str">
        <f>VLOOKUP(A347, user_table!$A:$B, 2, FALSE)</f>
        <v>Female</v>
      </c>
      <c r="D347" t="str">
        <f>VLOOKUP(A347, user_table!$A:$F, 5, FALSE)</f>
        <v>Desktop</v>
      </c>
      <c r="E347" t="str">
        <f>VLOOKUP(A347, user_table!$A:$F, 6, FALSE)</f>
        <v>Paid</v>
      </c>
      <c r="F347" s="1" t="str">
        <f>IF(ISNUMBER(MATCH(A347, search_page!$A:$A, 0)), "Yes", "No")</f>
        <v>No</v>
      </c>
    </row>
    <row r="348" spans="1:6">
      <c r="A348">
        <v>1347</v>
      </c>
      <c r="B348" s="2">
        <v>45333.8125</v>
      </c>
      <c r="C348" t="str">
        <f>VLOOKUP(A348, user_table!$A:$B, 2, FALSE)</f>
        <v>Female</v>
      </c>
      <c r="D348" t="str">
        <f>VLOOKUP(A348, user_table!$A:$F, 5, FALSE)</f>
        <v>Mobile</v>
      </c>
      <c r="E348" t="str">
        <f>VLOOKUP(A348, user_table!$A:$F, 6, FALSE)</f>
        <v>Social</v>
      </c>
      <c r="F348" s="1" t="str">
        <f>IF(ISNUMBER(MATCH(A348, search_page!$A:$A, 0)), "Yes", "No")</f>
        <v>Yes</v>
      </c>
    </row>
    <row r="349" spans="1:6">
      <c r="A349">
        <v>1348</v>
      </c>
      <c r="B349" s="2">
        <v>45356.168749999997</v>
      </c>
      <c r="C349" t="str">
        <f>VLOOKUP(A349, user_table!$A:$B, 2, FALSE)</f>
        <v>Male</v>
      </c>
      <c r="D349" t="str">
        <f>VLOOKUP(A349, user_table!$A:$F, 5, FALSE)</f>
        <v>Desktop</v>
      </c>
      <c r="E349" t="str">
        <f>VLOOKUP(A349, user_table!$A:$F, 6, FALSE)</f>
        <v>Organic</v>
      </c>
      <c r="F349" s="1" t="str">
        <f>IF(ISNUMBER(MATCH(A349, search_page!$A:$A, 0)), "Yes", "No")</f>
        <v>Yes</v>
      </c>
    </row>
    <row r="350" spans="1:6">
      <c r="A350">
        <v>1349</v>
      </c>
      <c r="B350" s="2">
        <v>45349.160416666666</v>
      </c>
      <c r="C350" t="str">
        <f>VLOOKUP(A350, user_table!$A:$B, 2, FALSE)</f>
        <v>Male</v>
      </c>
      <c r="D350" t="str">
        <f>VLOOKUP(A350, user_table!$A:$F, 5, FALSE)</f>
        <v>Mobile</v>
      </c>
      <c r="E350" t="str">
        <f>VLOOKUP(A350, user_table!$A:$F, 6, FALSE)</f>
        <v>Organic</v>
      </c>
      <c r="F350" s="1" t="str">
        <f>IF(ISNUMBER(MATCH(A350, search_page!$A:$A, 0)), "Yes", "No")</f>
        <v>Yes</v>
      </c>
    </row>
    <row r="351" spans="1:6">
      <c r="A351">
        <v>1350</v>
      </c>
      <c r="B351" s="2">
        <v>45335.920138888891</v>
      </c>
      <c r="C351" t="str">
        <f>VLOOKUP(A351, user_table!$A:$B, 2, FALSE)</f>
        <v>Female</v>
      </c>
      <c r="D351" t="str">
        <f>VLOOKUP(A351, user_table!$A:$F, 5, FALSE)</f>
        <v>Desktop</v>
      </c>
      <c r="E351" t="str">
        <f>VLOOKUP(A351, user_table!$A:$F, 6, FALSE)</f>
        <v>Paid</v>
      </c>
      <c r="F351" s="1" t="str">
        <f>IF(ISNUMBER(MATCH(A351, search_page!$A:$A, 0)), "Yes", "No")</f>
        <v>No</v>
      </c>
    </row>
    <row r="352" spans="1:6">
      <c r="A352">
        <v>1351</v>
      </c>
      <c r="B352" s="2">
        <v>45356.84097222222</v>
      </c>
      <c r="C352" t="str">
        <f>VLOOKUP(A352, user_table!$A:$B, 2, FALSE)</f>
        <v>Male</v>
      </c>
      <c r="D352" t="str">
        <f>VLOOKUP(A352, user_table!$A:$F, 5, FALSE)</f>
        <v>Desktop</v>
      </c>
      <c r="E352" t="str">
        <f>VLOOKUP(A352, user_table!$A:$F, 6, FALSE)</f>
        <v>Social</v>
      </c>
      <c r="F352" s="1" t="str">
        <f>IF(ISNUMBER(MATCH(A352, search_page!$A:$A, 0)), "Yes", "No")</f>
        <v>No</v>
      </c>
    </row>
    <row r="353" spans="1:6">
      <c r="A353">
        <v>1352</v>
      </c>
      <c r="B353" s="2">
        <v>45297.322916666664</v>
      </c>
      <c r="C353" t="str">
        <f>VLOOKUP(A353, user_table!$A:$B, 2, FALSE)</f>
        <v>Female</v>
      </c>
      <c r="D353" t="str">
        <f>VLOOKUP(A353, user_table!$A:$F, 5, FALSE)</f>
        <v>Desktop</v>
      </c>
      <c r="E353" t="str">
        <f>VLOOKUP(A353, user_table!$A:$F, 6, FALSE)</f>
        <v>Organic</v>
      </c>
      <c r="F353" s="1" t="str">
        <f>IF(ISNUMBER(MATCH(A353, search_page!$A:$A, 0)), "Yes", "No")</f>
        <v>Yes</v>
      </c>
    </row>
    <row r="354" spans="1:6">
      <c r="A354">
        <v>1353</v>
      </c>
      <c r="B354" s="2">
        <v>45348.606249999997</v>
      </c>
      <c r="C354" t="str">
        <f>VLOOKUP(A354, user_table!$A:$B, 2, FALSE)</f>
        <v>Female</v>
      </c>
      <c r="D354" t="str">
        <f>VLOOKUP(A354, user_table!$A:$F, 5, FALSE)</f>
        <v>Mobile</v>
      </c>
      <c r="E354" t="str">
        <f>VLOOKUP(A354, user_table!$A:$F, 6, FALSE)</f>
        <v>Social</v>
      </c>
      <c r="F354" s="1" t="str">
        <f>IF(ISNUMBER(MATCH(A354, search_page!$A:$A, 0)), "Yes", "No")</f>
        <v>Yes</v>
      </c>
    </row>
    <row r="355" spans="1:6">
      <c r="A355">
        <v>1354</v>
      </c>
      <c r="B355" s="2">
        <v>45358.798611111109</v>
      </c>
      <c r="C355" t="str">
        <f>VLOOKUP(A355, user_table!$A:$B, 2, FALSE)</f>
        <v>Male</v>
      </c>
      <c r="D355" t="str">
        <f>VLOOKUP(A355, user_table!$A:$F, 5, FALSE)</f>
        <v>Desktop</v>
      </c>
      <c r="E355" t="str">
        <f>VLOOKUP(A355, user_table!$A:$F, 6, FALSE)</f>
        <v>Organic</v>
      </c>
      <c r="F355" s="1" t="str">
        <f>IF(ISNUMBER(MATCH(A355, search_page!$A:$A, 0)), "Yes", "No")</f>
        <v>No</v>
      </c>
    </row>
    <row r="356" spans="1:6">
      <c r="A356">
        <v>1355</v>
      </c>
      <c r="B356" s="2">
        <v>45338.498611111114</v>
      </c>
      <c r="C356" t="str">
        <f>VLOOKUP(A356, user_table!$A:$B, 2, FALSE)</f>
        <v>Male</v>
      </c>
      <c r="D356" t="str">
        <f>VLOOKUP(A356, user_table!$A:$F, 5, FALSE)</f>
        <v>Mobile</v>
      </c>
      <c r="E356" t="str">
        <f>VLOOKUP(A356, user_table!$A:$F, 6, FALSE)</f>
        <v>Email</v>
      </c>
      <c r="F356" s="1" t="str">
        <f>IF(ISNUMBER(MATCH(A356, search_page!$A:$A, 0)), "Yes", "No")</f>
        <v>No</v>
      </c>
    </row>
    <row r="357" spans="1:6">
      <c r="A357">
        <v>1356</v>
      </c>
      <c r="B357" s="2">
        <v>45328.518055555556</v>
      </c>
      <c r="C357" t="str">
        <f>VLOOKUP(A357, user_table!$A:$B, 2, FALSE)</f>
        <v>Female</v>
      </c>
      <c r="D357" t="str">
        <f>VLOOKUP(A357, user_table!$A:$F, 5, FALSE)</f>
        <v>Desktop</v>
      </c>
      <c r="E357" t="str">
        <f>VLOOKUP(A357, user_table!$A:$F, 6, FALSE)</f>
        <v>Email</v>
      </c>
      <c r="F357" s="1" t="str">
        <f>IF(ISNUMBER(MATCH(A357, search_page!$A:$A, 0)), "Yes", "No")</f>
        <v>No</v>
      </c>
    </row>
    <row r="358" spans="1:6">
      <c r="A358">
        <v>1357</v>
      </c>
      <c r="B358" s="2">
        <v>45335.901388888888</v>
      </c>
      <c r="C358" t="str">
        <f>VLOOKUP(A358, user_table!$A:$B, 2, FALSE)</f>
        <v>Male</v>
      </c>
      <c r="D358" t="str">
        <f>VLOOKUP(A358, user_table!$A:$F, 5, FALSE)</f>
        <v>Desktop</v>
      </c>
      <c r="E358" t="str">
        <f>VLOOKUP(A358, user_table!$A:$F, 6, FALSE)</f>
        <v>Organic</v>
      </c>
      <c r="F358" s="1" t="str">
        <f>IF(ISNUMBER(MATCH(A358, search_page!$A:$A, 0)), "Yes", "No")</f>
        <v>No</v>
      </c>
    </row>
    <row r="359" spans="1:6">
      <c r="A359">
        <v>1358</v>
      </c>
      <c r="B359" s="2">
        <v>45298.861805555556</v>
      </c>
      <c r="C359" t="str">
        <f>VLOOKUP(A359, user_table!$A:$B, 2, FALSE)</f>
        <v>Female</v>
      </c>
      <c r="D359" t="str">
        <f>VLOOKUP(A359, user_table!$A:$F, 5, FALSE)</f>
        <v>Mobile</v>
      </c>
      <c r="E359" t="str">
        <f>VLOOKUP(A359, user_table!$A:$F, 6, FALSE)</f>
        <v>Organic</v>
      </c>
      <c r="F359" s="1" t="str">
        <f>IF(ISNUMBER(MATCH(A359, search_page!$A:$A, 0)), "Yes", "No")</f>
        <v>Yes</v>
      </c>
    </row>
    <row r="360" spans="1:6">
      <c r="A360">
        <v>1359</v>
      </c>
      <c r="B360" s="2">
        <v>45334.097916666666</v>
      </c>
      <c r="C360" t="str">
        <f>VLOOKUP(A360, user_table!$A:$B, 2, FALSE)</f>
        <v>Female</v>
      </c>
      <c r="D360" t="str">
        <f>VLOOKUP(A360, user_table!$A:$F, 5, FALSE)</f>
        <v>Desktop</v>
      </c>
      <c r="E360" t="str">
        <f>VLOOKUP(A360, user_table!$A:$F, 6, FALSE)</f>
        <v>Paid</v>
      </c>
      <c r="F360" s="1" t="str">
        <f>IF(ISNUMBER(MATCH(A360, search_page!$A:$A, 0)), "Yes", "No")</f>
        <v>Yes</v>
      </c>
    </row>
    <row r="361" spans="1:6">
      <c r="A361">
        <v>1360</v>
      </c>
      <c r="B361" s="2">
        <v>45304.738194444442</v>
      </c>
      <c r="C361" t="str">
        <f>VLOOKUP(A361, user_table!$A:$B, 2, FALSE)</f>
        <v>Female</v>
      </c>
      <c r="D361" t="str">
        <f>VLOOKUP(A361, user_table!$A:$F, 5, FALSE)</f>
        <v>Desktop</v>
      </c>
      <c r="E361" t="str">
        <f>VLOOKUP(A361, user_table!$A:$F, 6, FALSE)</f>
        <v>Organic</v>
      </c>
      <c r="F361" s="1" t="str">
        <f>IF(ISNUMBER(MATCH(A361, search_page!$A:$A, 0)), "Yes", "No")</f>
        <v>No</v>
      </c>
    </row>
    <row r="362" spans="1:6">
      <c r="A362">
        <v>1361</v>
      </c>
      <c r="B362" s="2">
        <v>45341.386111111111</v>
      </c>
      <c r="C362" t="str">
        <f>VLOOKUP(A362, user_table!$A:$B, 2, FALSE)</f>
        <v>Male</v>
      </c>
      <c r="D362" t="str">
        <f>VLOOKUP(A362, user_table!$A:$F, 5, FALSE)</f>
        <v>Mobile</v>
      </c>
      <c r="E362" t="str">
        <f>VLOOKUP(A362, user_table!$A:$F, 6, FALSE)</f>
        <v>Social</v>
      </c>
      <c r="F362" s="1" t="str">
        <f>IF(ISNUMBER(MATCH(A362, search_page!$A:$A, 0)), "Yes", "No")</f>
        <v>No</v>
      </c>
    </row>
    <row r="363" spans="1:6">
      <c r="A363">
        <v>1362</v>
      </c>
      <c r="B363" s="2">
        <v>45376.829861111109</v>
      </c>
      <c r="C363" t="str">
        <f>VLOOKUP(A363, user_table!$A:$B, 2, FALSE)</f>
        <v>Female</v>
      </c>
      <c r="D363" t="str">
        <f>VLOOKUP(A363, user_table!$A:$F, 5, FALSE)</f>
        <v>Desktop</v>
      </c>
      <c r="E363" t="str">
        <f>VLOOKUP(A363, user_table!$A:$F, 6, FALSE)</f>
        <v>Email</v>
      </c>
      <c r="F363" s="1" t="str">
        <f>IF(ISNUMBER(MATCH(A363, search_page!$A:$A, 0)), "Yes", "No")</f>
        <v>No</v>
      </c>
    </row>
    <row r="364" spans="1:6">
      <c r="A364">
        <v>1363</v>
      </c>
      <c r="B364" s="2">
        <v>45311.420138888891</v>
      </c>
      <c r="C364" t="str">
        <f>VLOOKUP(A364, user_table!$A:$B, 2, FALSE)</f>
        <v>Male</v>
      </c>
      <c r="D364" t="str">
        <f>VLOOKUP(A364, user_table!$A:$F, 5, FALSE)</f>
        <v>Desktop</v>
      </c>
      <c r="E364" t="str">
        <f>VLOOKUP(A364, user_table!$A:$F, 6, FALSE)</f>
        <v>Social</v>
      </c>
      <c r="F364" s="1" t="str">
        <f>IF(ISNUMBER(MATCH(A364, search_page!$A:$A, 0)), "Yes", "No")</f>
        <v>Yes</v>
      </c>
    </row>
    <row r="365" spans="1:6">
      <c r="A365">
        <v>1364</v>
      </c>
      <c r="B365" s="2">
        <v>45366.881249999999</v>
      </c>
      <c r="C365" t="str">
        <f>VLOOKUP(A365, user_table!$A:$B, 2, FALSE)</f>
        <v>Female</v>
      </c>
      <c r="D365" t="str">
        <f>VLOOKUP(A365, user_table!$A:$F, 5, FALSE)</f>
        <v>Desktop</v>
      </c>
      <c r="E365" t="str">
        <f>VLOOKUP(A365, user_table!$A:$F, 6, FALSE)</f>
        <v>Email</v>
      </c>
      <c r="F365" s="1" t="str">
        <f>IF(ISNUMBER(MATCH(A365, search_page!$A:$A, 0)), "Yes", "No")</f>
        <v>Yes</v>
      </c>
    </row>
    <row r="366" spans="1:6">
      <c r="A366">
        <v>1365</v>
      </c>
      <c r="B366" s="2">
        <v>45336.40347222222</v>
      </c>
      <c r="C366" t="str">
        <f>VLOOKUP(A366, user_table!$A:$B, 2, FALSE)</f>
        <v>Female</v>
      </c>
      <c r="D366" t="str">
        <f>VLOOKUP(A366, user_table!$A:$F, 5, FALSE)</f>
        <v>Tablet</v>
      </c>
      <c r="E366" t="str">
        <f>VLOOKUP(A366, user_table!$A:$F, 6, FALSE)</f>
        <v>Paid</v>
      </c>
      <c r="F366" s="1" t="str">
        <f>IF(ISNUMBER(MATCH(A366, search_page!$A:$A, 0)), "Yes", "No")</f>
        <v>No</v>
      </c>
    </row>
    <row r="367" spans="1:6">
      <c r="A367">
        <v>1366</v>
      </c>
      <c r="B367" s="2">
        <v>45381.892361111109</v>
      </c>
      <c r="C367" t="str">
        <f>VLOOKUP(A367, user_table!$A:$B, 2, FALSE)</f>
        <v>Male</v>
      </c>
      <c r="D367" t="str">
        <f>VLOOKUP(A367, user_table!$A:$F, 5, FALSE)</f>
        <v>Mobile</v>
      </c>
      <c r="E367" t="str">
        <f>VLOOKUP(A367, user_table!$A:$F, 6, FALSE)</f>
        <v>Organic</v>
      </c>
      <c r="F367" s="1" t="str">
        <f>IF(ISNUMBER(MATCH(A367, search_page!$A:$A, 0)), "Yes", "No")</f>
        <v>No</v>
      </c>
    </row>
    <row r="368" spans="1:6">
      <c r="A368">
        <v>1367</v>
      </c>
      <c r="B368" s="2">
        <v>45308.822916666664</v>
      </c>
      <c r="C368" t="str">
        <f>VLOOKUP(A368, user_table!$A:$B, 2, FALSE)</f>
        <v>Female</v>
      </c>
      <c r="D368" t="str">
        <f>VLOOKUP(A368, user_table!$A:$F, 5, FALSE)</f>
        <v>Mobile</v>
      </c>
      <c r="E368" t="str">
        <f>VLOOKUP(A368, user_table!$A:$F, 6, FALSE)</f>
        <v>Social</v>
      </c>
      <c r="F368" s="1" t="str">
        <f>IF(ISNUMBER(MATCH(A368, search_page!$A:$A, 0)), "Yes", "No")</f>
        <v>Yes</v>
      </c>
    </row>
    <row r="369" spans="1:6">
      <c r="A369">
        <v>1368</v>
      </c>
      <c r="B369" s="2">
        <v>45302.399305555555</v>
      </c>
      <c r="C369" t="str">
        <f>VLOOKUP(A369, user_table!$A:$B, 2, FALSE)</f>
        <v>Female</v>
      </c>
      <c r="D369" t="str">
        <f>VLOOKUP(A369, user_table!$A:$F, 5, FALSE)</f>
        <v>Mobile</v>
      </c>
      <c r="E369" t="str">
        <f>VLOOKUP(A369, user_table!$A:$F, 6, FALSE)</f>
        <v>Paid</v>
      </c>
      <c r="F369" s="1" t="str">
        <f>IF(ISNUMBER(MATCH(A369, search_page!$A:$A, 0)), "Yes", "No")</f>
        <v>Yes</v>
      </c>
    </row>
    <row r="370" spans="1:6">
      <c r="A370">
        <v>1369</v>
      </c>
      <c r="B370" s="2">
        <v>45340.868055555555</v>
      </c>
      <c r="C370" t="str">
        <f>VLOOKUP(A370, user_table!$A:$B, 2, FALSE)</f>
        <v>Male</v>
      </c>
      <c r="D370" t="str">
        <f>VLOOKUP(A370, user_table!$A:$F, 5, FALSE)</f>
        <v>Desktop</v>
      </c>
      <c r="E370" t="str">
        <f>VLOOKUP(A370, user_table!$A:$F, 6, FALSE)</f>
        <v>Social</v>
      </c>
      <c r="F370" s="1" t="str">
        <f>IF(ISNUMBER(MATCH(A370, search_page!$A:$A, 0)), "Yes", "No")</f>
        <v>Yes</v>
      </c>
    </row>
    <row r="371" spans="1:6">
      <c r="A371">
        <v>1370</v>
      </c>
      <c r="B371" s="2">
        <v>45334.195833333331</v>
      </c>
      <c r="C371" t="str">
        <f>VLOOKUP(A371, user_table!$A:$B, 2, FALSE)</f>
        <v>Male</v>
      </c>
      <c r="D371" t="str">
        <f>VLOOKUP(A371, user_table!$A:$F, 5, FALSE)</f>
        <v>Desktop</v>
      </c>
      <c r="E371" t="str">
        <f>VLOOKUP(A371, user_table!$A:$F, 6, FALSE)</f>
        <v>Organic</v>
      </c>
      <c r="F371" s="1" t="str">
        <f>IF(ISNUMBER(MATCH(A371, search_page!$A:$A, 0)), "Yes", "No")</f>
        <v>No</v>
      </c>
    </row>
    <row r="372" spans="1:6">
      <c r="A372">
        <v>1371</v>
      </c>
      <c r="B372" s="2">
        <v>45381.988194444442</v>
      </c>
      <c r="C372" t="str">
        <f>VLOOKUP(A372, user_table!$A:$B, 2, FALSE)</f>
        <v>Male</v>
      </c>
      <c r="D372" t="str">
        <f>VLOOKUP(A372, user_table!$A:$F, 5, FALSE)</f>
        <v>Mobile</v>
      </c>
      <c r="E372" t="str">
        <f>VLOOKUP(A372, user_table!$A:$F, 6, FALSE)</f>
        <v>Organic</v>
      </c>
      <c r="F372" s="1" t="str">
        <f>IF(ISNUMBER(MATCH(A372, search_page!$A:$A, 0)), "Yes", "No")</f>
        <v>Yes</v>
      </c>
    </row>
    <row r="373" spans="1:6">
      <c r="A373">
        <v>1372</v>
      </c>
      <c r="B373" s="2">
        <v>45359.111805555556</v>
      </c>
      <c r="C373" t="str">
        <f>VLOOKUP(A373, user_table!$A:$B, 2, FALSE)</f>
        <v>Male</v>
      </c>
      <c r="D373" t="str">
        <f>VLOOKUP(A373, user_table!$A:$F, 5, FALSE)</f>
        <v>Desktop</v>
      </c>
      <c r="E373" t="str">
        <f>VLOOKUP(A373, user_table!$A:$F, 6, FALSE)</f>
        <v>Direct</v>
      </c>
      <c r="F373" s="1" t="str">
        <f>IF(ISNUMBER(MATCH(A373, search_page!$A:$A, 0)), "Yes", "No")</f>
        <v>Yes</v>
      </c>
    </row>
    <row r="374" spans="1:6">
      <c r="A374">
        <v>1373</v>
      </c>
      <c r="B374" s="2">
        <v>45377.563888888886</v>
      </c>
      <c r="C374" t="str">
        <f>VLOOKUP(A374, user_table!$A:$B, 2, FALSE)</f>
        <v>Male</v>
      </c>
      <c r="D374" t="str">
        <f>VLOOKUP(A374, user_table!$A:$F, 5, FALSE)</f>
        <v>Desktop</v>
      </c>
      <c r="E374" t="str">
        <f>VLOOKUP(A374, user_table!$A:$F, 6, FALSE)</f>
        <v>Organic</v>
      </c>
      <c r="F374" s="1" t="str">
        <f>IF(ISNUMBER(MATCH(A374, search_page!$A:$A, 0)), "Yes", "No")</f>
        <v>No</v>
      </c>
    </row>
    <row r="375" spans="1:6">
      <c r="A375">
        <v>1374</v>
      </c>
      <c r="B375" s="2">
        <v>45338.015972222223</v>
      </c>
      <c r="C375" t="str">
        <f>VLOOKUP(A375, user_table!$A:$B, 2, FALSE)</f>
        <v>Female</v>
      </c>
      <c r="D375" t="str">
        <f>VLOOKUP(A375, user_table!$A:$F, 5, FALSE)</f>
        <v>Desktop</v>
      </c>
      <c r="E375" t="str">
        <f>VLOOKUP(A375, user_table!$A:$F, 6, FALSE)</f>
        <v>Direct</v>
      </c>
      <c r="F375" s="1" t="str">
        <f>IF(ISNUMBER(MATCH(A375, search_page!$A:$A, 0)), "Yes", "No")</f>
        <v>Yes</v>
      </c>
    </row>
    <row r="376" spans="1:6">
      <c r="A376">
        <v>1375</v>
      </c>
      <c r="B376" s="2">
        <v>45331.217361111114</v>
      </c>
      <c r="C376" t="str">
        <f>VLOOKUP(A376, user_table!$A:$B, 2, FALSE)</f>
        <v>Male</v>
      </c>
      <c r="D376" t="str">
        <f>VLOOKUP(A376, user_table!$A:$F, 5, FALSE)</f>
        <v>Desktop</v>
      </c>
      <c r="E376" t="str">
        <f>VLOOKUP(A376, user_table!$A:$F, 6, FALSE)</f>
        <v>Direct</v>
      </c>
      <c r="F376" s="1" t="str">
        <f>IF(ISNUMBER(MATCH(A376, search_page!$A:$A, 0)), "Yes", "No")</f>
        <v>No</v>
      </c>
    </row>
    <row r="377" spans="1:6">
      <c r="A377">
        <v>1376</v>
      </c>
      <c r="B377" s="2">
        <v>45335.633333333331</v>
      </c>
      <c r="C377" t="str">
        <f>VLOOKUP(A377, user_table!$A:$B, 2, FALSE)</f>
        <v>Male</v>
      </c>
      <c r="D377" t="str">
        <f>VLOOKUP(A377, user_table!$A:$F, 5, FALSE)</f>
        <v>Tablet</v>
      </c>
      <c r="E377" t="str">
        <f>VLOOKUP(A377, user_table!$A:$F, 6, FALSE)</f>
        <v>Email</v>
      </c>
      <c r="F377" s="1" t="str">
        <f>IF(ISNUMBER(MATCH(A377, search_page!$A:$A, 0)), "Yes", "No")</f>
        <v>No</v>
      </c>
    </row>
    <row r="378" spans="1:6">
      <c r="A378">
        <v>1377</v>
      </c>
      <c r="B378" s="2">
        <v>45320.17291666667</v>
      </c>
      <c r="C378" t="str">
        <f>VLOOKUP(A378, user_table!$A:$B, 2, FALSE)</f>
        <v>Female</v>
      </c>
      <c r="D378" t="str">
        <f>VLOOKUP(A378, user_table!$A:$F, 5, FALSE)</f>
        <v>Desktop</v>
      </c>
      <c r="E378" t="str">
        <f>VLOOKUP(A378, user_table!$A:$F, 6, FALSE)</f>
        <v>Social</v>
      </c>
      <c r="F378" s="1" t="str">
        <f>IF(ISNUMBER(MATCH(A378, search_page!$A:$A, 0)), "Yes", "No")</f>
        <v>No</v>
      </c>
    </row>
    <row r="379" spans="1:6">
      <c r="A379">
        <v>1378</v>
      </c>
      <c r="B379" s="2">
        <v>45301.412499999999</v>
      </c>
      <c r="C379" t="str">
        <f>VLOOKUP(A379, user_table!$A:$B, 2, FALSE)</f>
        <v>Male</v>
      </c>
      <c r="D379" t="str">
        <f>VLOOKUP(A379, user_table!$A:$F, 5, FALSE)</f>
        <v>Mobile</v>
      </c>
      <c r="E379" t="str">
        <f>VLOOKUP(A379, user_table!$A:$F, 6, FALSE)</f>
        <v>Social</v>
      </c>
      <c r="F379" s="1" t="str">
        <f>IF(ISNUMBER(MATCH(A379, search_page!$A:$A, 0)), "Yes", "No")</f>
        <v>Yes</v>
      </c>
    </row>
    <row r="380" spans="1:6">
      <c r="A380">
        <v>1379</v>
      </c>
      <c r="B380" s="2">
        <v>45304.700694444444</v>
      </c>
      <c r="C380" t="str">
        <f>VLOOKUP(A380, user_table!$A:$B, 2, FALSE)</f>
        <v>Female</v>
      </c>
      <c r="D380" t="str">
        <f>VLOOKUP(A380, user_table!$A:$F, 5, FALSE)</f>
        <v>Desktop</v>
      </c>
      <c r="E380" t="str">
        <f>VLOOKUP(A380, user_table!$A:$F, 6, FALSE)</f>
        <v>Email</v>
      </c>
      <c r="F380" s="1" t="str">
        <f>IF(ISNUMBER(MATCH(A380, search_page!$A:$A, 0)), "Yes", "No")</f>
        <v>Yes</v>
      </c>
    </row>
    <row r="381" spans="1:6">
      <c r="A381">
        <v>1380</v>
      </c>
      <c r="B381" s="2">
        <v>45361.99722222222</v>
      </c>
      <c r="C381" t="str">
        <f>VLOOKUP(A381, user_table!$A:$B, 2, FALSE)</f>
        <v>Male</v>
      </c>
      <c r="D381" t="str">
        <f>VLOOKUP(A381, user_table!$A:$F, 5, FALSE)</f>
        <v>Tablet</v>
      </c>
      <c r="E381" t="str">
        <f>VLOOKUP(A381, user_table!$A:$F, 6, FALSE)</f>
        <v>Organic</v>
      </c>
      <c r="F381" s="1" t="str">
        <f>IF(ISNUMBER(MATCH(A381, search_page!$A:$A, 0)), "Yes", "No")</f>
        <v>Yes</v>
      </c>
    </row>
    <row r="382" spans="1:6">
      <c r="A382">
        <v>1381</v>
      </c>
      <c r="B382" s="2">
        <v>45359.070833333331</v>
      </c>
      <c r="C382" t="str">
        <f>VLOOKUP(A382, user_table!$A:$B, 2, FALSE)</f>
        <v>Male</v>
      </c>
      <c r="D382" t="str">
        <f>VLOOKUP(A382, user_table!$A:$F, 5, FALSE)</f>
        <v>Desktop</v>
      </c>
      <c r="E382" t="str">
        <f>VLOOKUP(A382, user_table!$A:$F, 6, FALSE)</f>
        <v>Paid</v>
      </c>
      <c r="F382" s="1" t="str">
        <f>IF(ISNUMBER(MATCH(A382, search_page!$A:$A, 0)), "Yes", "No")</f>
        <v>No</v>
      </c>
    </row>
    <row r="383" spans="1:6">
      <c r="A383">
        <v>1382</v>
      </c>
      <c r="B383" s="2">
        <v>45335.797222222223</v>
      </c>
      <c r="C383" t="str">
        <f>VLOOKUP(A383, user_table!$A:$B, 2, FALSE)</f>
        <v>Female</v>
      </c>
      <c r="D383" t="str">
        <f>VLOOKUP(A383, user_table!$A:$F, 5, FALSE)</f>
        <v>Desktop</v>
      </c>
      <c r="E383" t="str">
        <f>VLOOKUP(A383, user_table!$A:$F, 6, FALSE)</f>
        <v>Social</v>
      </c>
      <c r="F383" s="1" t="str">
        <f>IF(ISNUMBER(MATCH(A383, search_page!$A:$A, 0)), "Yes", "No")</f>
        <v>No</v>
      </c>
    </row>
    <row r="384" spans="1:6">
      <c r="A384">
        <v>1383</v>
      </c>
      <c r="B384" s="2">
        <v>45368.506249999999</v>
      </c>
      <c r="C384" t="str">
        <f>VLOOKUP(A384, user_table!$A:$B, 2, FALSE)</f>
        <v>Female</v>
      </c>
      <c r="D384" t="str">
        <f>VLOOKUP(A384, user_table!$A:$F, 5, FALSE)</f>
        <v>Mobile</v>
      </c>
      <c r="E384" t="str">
        <f>VLOOKUP(A384, user_table!$A:$F, 6, FALSE)</f>
        <v>Paid</v>
      </c>
      <c r="F384" s="1" t="str">
        <f>IF(ISNUMBER(MATCH(A384, search_page!$A:$A, 0)), "Yes", "No")</f>
        <v>Yes</v>
      </c>
    </row>
    <row r="385" spans="1:6">
      <c r="A385">
        <v>1384</v>
      </c>
      <c r="B385" s="2">
        <v>45312.245138888888</v>
      </c>
      <c r="C385" t="str">
        <f>VLOOKUP(A385, user_table!$A:$B, 2, FALSE)</f>
        <v>Female</v>
      </c>
      <c r="D385" t="str">
        <f>VLOOKUP(A385, user_table!$A:$F, 5, FALSE)</f>
        <v>Mobile</v>
      </c>
      <c r="E385" t="str">
        <f>VLOOKUP(A385, user_table!$A:$F, 6, FALSE)</f>
        <v>Paid</v>
      </c>
      <c r="F385" s="1" t="str">
        <f>IF(ISNUMBER(MATCH(A385, search_page!$A:$A, 0)), "Yes", "No")</f>
        <v>No</v>
      </c>
    </row>
    <row r="386" spans="1:6">
      <c r="A386">
        <v>1385</v>
      </c>
      <c r="B386" s="2">
        <v>45380.82708333333</v>
      </c>
      <c r="C386" t="str">
        <f>VLOOKUP(A386, user_table!$A:$B, 2, FALSE)</f>
        <v>Female</v>
      </c>
      <c r="D386" t="str">
        <f>VLOOKUP(A386, user_table!$A:$F, 5, FALSE)</f>
        <v>Desktop</v>
      </c>
      <c r="E386" t="str">
        <f>VLOOKUP(A386, user_table!$A:$F, 6, FALSE)</f>
        <v>Paid</v>
      </c>
      <c r="F386" s="1" t="str">
        <f>IF(ISNUMBER(MATCH(A386, search_page!$A:$A, 0)), "Yes", "No")</f>
        <v>No</v>
      </c>
    </row>
    <row r="387" spans="1:6">
      <c r="A387">
        <v>1386</v>
      </c>
      <c r="B387" s="2">
        <v>45313.977777777778</v>
      </c>
      <c r="C387" t="str">
        <f>VLOOKUP(A387, user_table!$A:$B, 2, FALSE)</f>
        <v>Female</v>
      </c>
      <c r="D387" t="str">
        <f>VLOOKUP(A387, user_table!$A:$F, 5, FALSE)</f>
        <v>Desktop</v>
      </c>
      <c r="E387" t="str">
        <f>VLOOKUP(A387, user_table!$A:$F, 6, FALSE)</f>
        <v>Social</v>
      </c>
      <c r="F387" s="1" t="str">
        <f>IF(ISNUMBER(MATCH(A387, search_page!$A:$A, 0)), "Yes", "No")</f>
        <v>No</v>
      </c>
    </row>
    <row r="388" spans="1:6">
      <c r="A388">
        <v>1387</v>
      </c>
      <c r="B388" s="2">
        <v>45297.557638888888</v>
      </c>
      <c r="C388" t="str">
        <f>VLOOKUP(A388, user_table!$A:$B, 2, FALSE)</f>
        <v>Male</v>
      </c>
      <c r="D388" t="str">
        <f>VLOOKUP(A388, user_table!$A:$F, 5, FALSE)</f>
        <v>Desktop</v>
      </c>
      <c r="E388" t="str">
        <f>VLOOKUP(A388, user_table!$A:$F, 6, FALSE)</f>
        <v>Email</v>
      </c>
      <c r="F388" s="1" t="str">
        <f>IF(ISNUMBER(MATCH(A388, search_page!$A:$A, 0)), "Yes", "No")</f>
        <v>No</v>
      </c>
    </row>
    <row r="389" spans="1:6">
      <c r="A389">
        <v>1388</v>
      </c>
      <c r="B389" s="2">
        <v>45378.96875</v>
      </c>
      <c r="C389" t="str">
        <f>VLOOKUP(A389, user_table!$A:$B, 2, FALSE)</f>
        <v>Male</v>
      </c>
      <c r="D389" t="str">
        <f>VLOOKUP(A389, user_table!$A:$F, 5, FALSE)</f>
        <v>Desktop</v>
      </c>
      <c r="E389" t="str">
        <f>VLOOKUP(A389, user_table!$A:$F, 6, FALSE)</f>
        <v>Organic</v>
      </c>
      <c r="F389" s="1" t="str">
        <f>IF(ISNUMBER(MATCH(A389, search_page!$A:$A, 0)), "Yes", "No")</f>
        <v>Yes</v>
      </c>
    </row>
    <row r="390" spans="1:6">
      <c r="A390">
        <v>1389</v>
      </c>
      <c r="B390" s="2">
        <v>45348.804166666669</v>
      </c>
      <c r="C390" t="str">
        <f>VLOOKUP(A390, user_table!$A:$B, 2, FALSE)</f>
        <v>Female</v>
      </c>
      <c r="D390" t="str">
        <f>VLOOKUP(A390, user_table!$A:$F, 5, FALSE)</f>
        <v>Desktop</v>
      </c>
      <c r="E390" t="str">
        <f>VLOOKUP(A390, user_table!$A:$F, 6, FALSE)</f>
        <v>Direct</v>
      </c>
      <c r="F390" s="1" t="str">
        <f>IF(ISNUMBER(MATCH(A390, search_page!$A:$A, 0)), "Yes", "No")</f>
        <v>Yes</v>
      </c>
    </row>
    <row r="391" spans="1:6">
      <c r="A391">
        <v>1390</v>
      </c>
      <c r="B391" s="2">
        <v>45349.31527777778</v>
      </c>
      <c r="C391" t="str">
        <f>VLOOKUP(A391, user_table!$A:$B, 2, FALSE)</f>
        <v>Female</v>
      </c>
      <c r="D391" t="str">
        <f>VLOOKUP(A391, user_table!$A:$F, 5, FALSE)</f>
        <v>Desktop</v>
      </c>
      <c r="E391" t="str">
        <f>VLOOKUP(A391, user_table!$A:$F, 6, FALSE)</f>
        <v>Social</v>
      </c>
      <c r="F391" s="1" t="str">
        <f>IF(ISNUMBER(MATCH(A391, search_page!$A:$A, 0)), "Yes", "No")</f>
        <v>Yes</v>
      </c>
    </row>
    <row r="392" spans="1:6">
      <c r="A392">
        <v>1391</v>
      </c>
      <c r="B392" s="2">
        <v>45322.410416666666</v>
      </c>
      <c r="C392" t="str">
        <f>VLOOKUP(A392, user_table!$A:$B, 2, FALSE)</f>
        <v>Female</v>
      </c>
      <c r="D392" t="str">
        <f>VLOOKUP(A392, user_table!$A:$F, 5, FALSE)</f>
        <v>Desktop</v>
      </c>
      <c r="E392" t="str">
        <f>VLOOKUP(A392, user_table!$A:$F, 6, FALSE)</f>
        <v>Email</v>
      </c>
      <c r="F392" s="1" t="str">
        <f>IF(ISNUMBER(MATCH(A392, search_page!$A:$A, 0)), "Yes", "No")</f>
        <v>Yes</v>
      </c>
    </row>
    <row r="393" spans="1:6">
      <c r="A393">
        <v>1392</v>
      </c>
      <c r="B393" s="2">
        <v>45352.265972222223</v>
      </c>
      <c r="C393" t="str">
        <f>VLOOKUP(A393, user_table!$A:$B, 2, FALSE)</f>
        <v>Male</v>
      </c>
      <c r="D393" t="str">
        <f>VLOOKUP(A393, user_table!$A:$F, 5, FALSE)</f>
        <v>Desktop</v>
      </c>
      <c r="E393" t="str">
        <f>VLOOKUP(A393, user_table!$A:$F, 6, FALSE)</f>
        <v>Social</v>
      </c>
      <c r="F393" s="1" t="str">
        <f>IF(ISNUMBER(MATCH(A393, search_page!$A:$A, 0)), "Yes", "No")</f>
        <v>Yes</v>
      </c>
    </row>
    <row r="394" spans="1:6">
      <c r="A394">
        <v>1393</v>
      </c>
      <c r="B394" s="2">
        <v>45378.769444444442</v>
      </c>
      <c r="C394" t="str">
        <f>VLOOKUP(A394, user_table!$A:$B, 2, FALSE)</f>
        <v>Male</v>
      </c>
      <c r="D394" t="str">
        <f>VLOOKUP(A394, user_table!$A:$F, 5, FALSE)</f>
        <v>Mobile</v>
      </c>
      <c r="E394" t="str">
        <f>VLOOKUP(A394, user_table!$A:$F, 6, FALSE)</f>
        <v>Email</v>
      </c>
      <c r="F394" s="1" t="str">
        <f>IF(ISNUMBER(MATCH(A394, search_page!$A:$A, 0)), "Yes", "No")</f>
        <v>No</v>
      </c>
    </row>
    <row r="395" spans="1:6">
      <c r="A395">
        <v>1394</v>
      </c>
      <c r="B395" s="2">
        <v>45351.40902777778</v>
      </c>
      <c r="C395" t="str">
        <f>VLOOKUP(A395, user_table!$A:$B, 2, FALSE)</f>
        <v>Female</v>
      </c>
      <c r="D395" t="str">
        <f>VLOOKUP(A395, user_table!$A:$F, 5, FALSE)</f>
        <v>Tablet</v>
      </c>
      <c r="E395" t="str">
        <f>VLOOKUP(A395, user_table!$A:$F, 6, FALSE)</f>
        <v>Organic</v>
      </c>
      <c r="F395" s="1" t="str">
        <f>IF(ISNUMBER(MATCH(A395, search_page!$A:$A, 0)), "Yes", "No")</f>
        <v>No</v>
      </c>
    </row>
    <row r="396" spans="1:6">
      <c r="A396">
        <v>1395</v>
      </c>
      <c r="B396" s="2">
        <v>45340.689583333333</v>
      </c>
      <c r="C396" t="str">
        <f>VLOOKUP(A396, user_table!$A:$B, 2, FALSE)</f>
        <v>Male</v>
      </c>
      <c r="D396" t="str">
        <f>VLOOKUP(A396, user_table!$A:$F, 5, FALSE)</f>
        <v>Mobile</v>
      </c>
      <c r="E396" t="str">
        <f>VLOOKUP(A396, user_table!$A:$F, 6, FALSE)</f>
        <v>Email</v>
      </c>
      <c r="F396" s="1" t="str">
        <f>IF(ISNUMBER(MATCH(A396, search_page!$A:$A, 0)), "Yes", "No")</f>
        <v>Yes</v>
      </c>
    </row>
    <row r="397" spans="1:6">
      <c r="A397">
        <v>1396</v>
      </c>
      <c r="B397" s="2">
        <v>45345.244444444441</v>
      </c>
      <c r="C397" t="str">
        <f>VLOOKUP(A397, user_table!$A:$B, 2, FALSE)</f>
        <v>Female</v>
      </c>
      <c r="D397" t="str">
        <f>VLOOKUP(A397, user_table!$A:$F, 5, FALSE)</f>
        <v>Desktop</v>
      </c>
      <c r="E397" t="str">
        <f>VLOOKUP(A397, user_table!$A:$F, 6, FALSE)</f>
        <v>Organic</v>
      </c>
      <c r="F397" s="1" t="str">
        <f>IF(ISNUMBER(MATCH(A397, search_page!$A:$A, 0)), "Yes", "No")</f>
        <v>Yes</v>
      </c>
    </row>
    <row r="398" spans="1:6">
      <c r="A398">
        <v>1397</v>
      </c>
      <c r="B398" s="2">
        <v>45317.797222222223</v>
      </c>
      <c r="C398" t="str">
        <f>VLOOKUP(A398, user_table!$A:$B, 2, FALSE)</f>
        <v>Female</v>
      </c>
      <c r="D398" t="str">
        <f>VLOOKUP(A398, user_table!$A:$F, 5, FALSE)</f>
        <v>Desktop</v>
      </c>
      <c r="E398" t="str">
        <f>VLOOKUP(A398, user_table!$A:$F, 6, FALSE)</f>
        <v>Email</v>
      </c>
      <c r="F398" s="1" t="str">
        <f>IF(ISNUMBER(MATCH(A398, search_page!$A:$A, 0)), "Yes", "No")</f>
        <v>No</v>
      </c>
    </row>
    <row r="399" spans="1:6">
      <c r="A399">
        <v>1398</v>
      </c>
      <c r="B399" s="2">
        <v>45324.070138888892</v>
      </c>
      <c r="C399" t="str">
        <f>VLOOKUP(A399, user_table!$A:$B, 2, FALSE)</f>
        <v>Male</v>
      </c>
      <c r="D399" t="str">
        <f>VLOOKUP(A399, user_table!$A:$F, 5, FALSE)</f>
        <v>Tablet</v>
      </c>
      <c r="E399" t="str">
        <f>VLOOKUP(A399, user_table!$A:$F, 6, FALSE)</f>
        <v>Direct</v>
      </c>
      <c r="F399" s="1" t="str">
        <f>IF(ISNUMBER(MATCH(A399, search_page!$A:$A, 0)), "Yes", "No")</f>
        <v>No</v>
      </c>
    </row>
    <row r="400" spans="1:6">
      <c r="A400">
        <v>1399</v>
      </c>
      <c r="B400" s="2">
        <v>45353.482638888891</v>
      </c>
      <c r="C400" t="str">
        <f>VLOOKUP(A400, user_table!$A:$B, 2, FALSE)</f>
        <v>Female</v>
      </c>
      <c r="D400" t="str">
        <f>VLOOKUP(A400, user_table!$A:$F, 5, FALSE)</f>
        <v>Desktop</v>
      </c>
      <c r="E400" t="str">
        <f>VLOOKUP(A400, user_table!$A:$F, 6, FALSE)</f>
        <v>Organic</v>
      </c>
      <c r="F400" s="1" t="str">
        <f>IF(ISNUMBER(MATCH(A400, search_page!$A:$A, 0)), "Yes", "No")</f>
        <v>No</v>
      </c>
    </row>
    <row r="401" spans="1:6">
      <c r="A401">
        <v>1400</v>
      </c>
      <c r="B401" s="2">
        <v>45305.95416666667</v>
      </c>
      <c r="C401" t="str">
        <f>VLOOKUP(A401, user_table!$A:$B, 2, FALSE)</f>
        <v>Female</v>
      </c>
      <c r="D401" t="str">
        <f>VLOOKUP(A401, user_table!$A:$F, 5, FALSE)</f>
        <v>Desktop</v>
      </c>
      <c r="E401" t="str">
        <f>VLOOKUP(A401, user_table!$A:$F, 6, FALSE)</f>
        <v>Organic</v>
      </c>
      <c r="F401" s="1" t="str">
        <f>IF(ISNUMBER(MATCH(A401, search_page!$A:$A, 0)), "Yes", "No")</f>
        <v>Yes</v>
      </c>
    </row>
    <row r="402" spans="1:6">
      <c r="A402">
        <v>1401</v>
      </c>
      <c r="B402" s="2">
        <v>45358.137499999997</v>
      </c>
      <c r="C402" t="str">
        <f>VLOOKUP(A402, user_table!$A:$B, 2, FALSE)</f>
        <v>Male</v>
      </c>
      <c r="D402" t="str">
        <f>VLOOKUP(A402, user_table!$A:$F, 5, FALSE)</f>
        <v>Mobile</v>
      </c>
      <c r="E402" t="str">
        <f>VLOOKUP(A402, user_table!$A:$F, 6, FALSE)</f>
        <v>Email</v>
      </c>
      <c r="F402" s="1" t="str">
        <f>IF(ISNUMBER(MATCH(A402, search_page!$A:$A, 0)), "Yes", "No")</f>
        <v>No</v>
      </c>
    </row>
    <row r="403" spans="1:6">
      <c r="A403">
        <v>1402</v>
      </c>
      <c r="B403" s="2">
        <v>45302.220138888886</v>
      </c>
      <c r="C403" t="str">
        <f>VLOOKUP(A403, user_table!$A:$B, 2, FALSE)</f>
        <v>Female</v>
      </c>
      <c r="D403" t="str">
        <f>VLOOKUP(A403, user_table!$A:$F, 5, FALSE)</f>
        <v>Mobile</v>
      </c>
      <c r="E403" t="str">
        <f>VLOOKUP(A403, user_table!$A:$F, 6, FALSE)</f>
        <v>Organic</v>
      </c>
      <c r="F403" s="1" t="str">
        <f>IF(ISNUMBER(MATCH(A403, search_page!$A:$A, 0)), "Yes", "No")</f>
        <v>No</v>
      </c>
    </row>
    <row r="404" spans="1:6">
      <c r="A404">
        <v>1403</v>
      </c>
      <c r="B404" s="2">
        <v>45349.67291666667</v>
      </c>
      <c r="C404" t="str">
        <f>VLOOKUP(A404, user_table!$A:$B, 2, FALSE)</f>
        <v>Male</v>
      </c>
      <c r="D404" t="str">
        <f>VLOOKUP(A404, user_table!$A:$F, 5, FALSE)</f>
        <v>Mobile</v>
      </c>
      <c r="E404" t="str">
        <f>VLOOKUP(A404, user_table!$A:$F, 6, FALSE)</f>
        <v>Email</v>
      </c>
      <c r="F404" s="1" t="str">
        <f>IF(ISNUMBER(MATCH(A404, search_page!$A:$A, 0)), "Yes", "No")</f>
        <v>Yes</v>
      </c>
    </row>
    <row r="405" spans="1:6">
      <c r="A405">
        <v>1404</v>
      </c>
      <c r="B405" s="2">
        <v>45347.123611111114</v>
      </c>
      <c r="C405" t="str">
        <f>VLOOKUP(A405, user_table!$A:$B, 2, FALSE)</f>
        <v>Female</v>
      </c>
      <c r="D405" t="str">
        <f>VLOOKUP(A405, user_table!$A:$F, 5, FALSE)</f>
        <v>Desktop</v>
      </c>
      <c r="E405" t="str">
        <f>VLOOKUP(A405, user_table!$A:$F, 6, FALSE)</f>
        <v>Organic</v>
      </c>
      <c r="F405" s="1" t="str">
        <f>IF(ISNUMBER(MATCH(A405, search_page!$A:$A, 0)), "Yes", "No")</f>
        <v>No</v>
      </c>
    </row>
    <row r="406" spans="1:6">
      <c r="A406">
        <v>1405</v>
      </c>
      <c r="B406" s="2">
        <v>45320.62222222222</v>
      </c>
      <c r="C406" t="str">
        <f>VLOOKUP(A406, user_table!$A:$B, 2, FALSE)</f>
        <v>Male</v>
      </c>
      <c r="D406" t="str">
        <f>VLOOKUP(A406, user_table!$A:$F, 5, FALSE)</f>
        <v>Desktop</v>
      </c>
      <c r="E406" t="str">
        <f>VLOOKUP(A406, user_table!$A:$F, 6, FALSE)</f>
        <v>Organic</v>
      </c>
      <c r="F406" s="1" t="str">
        <f>IF(ISNUMBER(MATCH(A406, search_page!$A:$A, 0)), "Yes", "No")</f>
        <v>No</v>
      </c>
    </row>
    <row r="407" spans="1:6">
      <c r="A407">
        <v>1406</v>
      </c>
      <c r="B407" s="2">
        <v>45336.018055555556</v>
      </c>
      <c r="C407" t="str">
        <f>VLOOKUP(A407, user_table!$A:$B, 2, FALSE)</f>
        <v>Female</v>
      </c>
      <c r="D407" t="str">
        <f>VLOOKUP(A407, user_table!$A:$F, 5, FALSE)</f>
        <v>Tablet</v>
      </c>
      <c r="E407" t="str">
        <f>VLOOKUP(A407, user_table!$A:$F, 6, FALSE)</f>
        <v>Direct</v>
      </c>
      <c r="F407" s="1" t="str">
        <f>IF(ISNUMBER(MATCH(A407, search_page!$A:$A, 0)), "Yes", "No")</f>
        <v>Yes</v>
      </c>
    </row>
    <row r="408" spans="1:6">
      <c r="A408">
        <v>1407</v>
      </c>
      <c r="B408" s="2">
        <v>45298.522222222222</v>
      </c>
      <c r="C408" t="str">
        <f>VLOOKUP(A408, user_table!$A:$B, 2, FALSE)</f>
        <v>Male</v>
      </c>
      <c r="D408" t="str">
        <f>VLOOKUP(A408, user_table!$A:$F, 5, FALSE)</f>
        <v>Desktop</v>
      </c>
      <c r="E408" t="str">
        <f>VLOOKUP(A408, user_table!$A:$F, 6, FALSE)</f>
        <v>Social</v>
      </c>
      <c r="F408" s="1" t="str">
        <f>IF(ISNUMBER(MATCH(A408, search_page!$A:$A, 0)), "Yes", "No")</f>
        <v>No</v>
      </c>
    </row>
    <row r="409" spans="1:6">
      <c r="A409">
        <v>1408</v>
      </c>
      <c r="B409" s="2">
        <v>45339.308333333334</v>
      </c>
      <c r="C409" t="str">
        <f>VLOOKUP(A409, user_table!$A:$B, 2, FALSE)</f>
        <v>Male</v>
      </c>
      <c r="D409" t="str">
        <f>VLOOKUP(A409, user_table!$A:$F, 5, FALSE)</f>
        <v>Mobile</v>
      </c>
      <c r="E409" t="str">
        <f>VLOOKUP(A409, user_table!$A:$F, 6, FALSE)</f>
        <v>Email</v>
      </c>
      <c r="F409" s="1" t="str">
        <f>IF(ISNUMBER(MATCH(A409, search_page!$A:$A, 0)), "Yes", "No")</f>
        <v>Yes</v>
      </c>
    </row>
    <row r="410" spans="1:6">
      <c r="A410">
        <v>1409</v>
      </c>
      <c r="B410" s="2">
        <v>45302.468055555553</v>
      </c>
      <c r="C410" t="str">
        <f>VLOOKUP(A410, user_table!$A:$B, 2, FALSE)</f>
        <v>Female</v>
      </c>
      <c r="D410" t="str">
        <f>VLOOKUP(A410, user_table!$A:$F, 5, FALSE)</f>
        <v>Mobile</v>
      </c>
      <c r="E410" t="str">
        <f>VLOOKUP(A410, user_table!$A:$F, 6, FALSE)</f>
        <v>Paid</v>
      </c>
      <c r="F410" s="1" t="str">
        <f>IF(ISNUMBER(MATCH(A410, search_page!$A:$A, 0)), "Yes", "No")</f>
        <v>Yes</v>
      </c>
    </row>
    <row r="411" spans="1:6">
      <c r="A411">
        <v>1410</v>
      </c>
      <c r="B411" s="2">
        <v>45295.457638888889</v>
      </c>
      <c r="C411" t="str">
        <f>VLOOKUP(A411, user_table!$A:$B, 2, FALSE)</f>
        <v>Male</v>
      </c>
      <c r="D411" t="str">
        <f>VLOOKUP(A411, user_table!$A:$F, 5, FALSE)</f>
        <v>Mobile</v>
      </c>
      <c r="E411" t="str">
        <f>VLOOKUP(A411, user_table!$A:$F, 6, FALSE)</f>
        <v>Social</v>
      </c>
      <c r="F411" s="1" t="str">
        <f>IF(ISNUMBER(MATCH(A411, search_page!$A:$A, 0)), "Yes", "No")</f>
        <v>No</v>
      </c>
    </row>
    <row r="412" spans="1:6">
      <c r="A412">
        <v>1411</v>
      </c>
      <c r="B412" s="2">
        <v>45304.945138888892</v>
      </c>
      <c r="C412" t="str">
        <f>VLOOKUP(A412, user_table!$A:$B, 2, FALSE)</f>
        <v>Male</v>
      </c>
      <c r="D412" t="str">
        <f>VLOOKUP(A412, user_table!$A:$F, 5, FALSE)</f>
        <v>Desktop</v>
      </c>
      <c r="E412" t="str">
        <f>VLOOKUP(A412, user_table!$A:$F, 6, FALSE)</f>
        <v>Social</v>
      </c>
      <c r="F412" s="1" t="str">
        <f>IF(ISNUMBER(MATCH(A412, search_page!$A:$A, 0)), "Yes", "No")</f>
        <v>Yes</v>
      </c>
    </row>
    <row r="413" spans="1:6">
      <c r="A413">
        <v>1412</v>
      </c>
      <c r="B413" s="2">
        <v>45334.172222222223</v>
      </c>
      <c r="C413" t="str">
        <f>VLOOKUP(A413, user_table!$A:$B, 2, FALSE)</f>
        <v>Female</v>
      </c>
      <c r="D413" t="str">
        <f>VLOOKUP(A413, user_table!$A:$F, 5, FALSE)</f>
        <v>Desktop</v>
      </c>
      <c r="E413" t="str">
        <f>VLOOKUP(A413, user_table!$A:$F, 6, FALSE)</f>
        <v>Social</v>
      </c>
      <c r="F413" s="1" t="str">
        <f>IF(ISNUMBER(MATCH(A413, search_page!$A:$A, 0)), "Yes", "No")</f>
        <v>No</v>
      </c>
    </row>
    <row r="414" spans="1:6">
      <c r="A414">
        <v>1413</v>
      </c>
      <c r="B414" s="2">
        <v>45296.415277777778</v>
      </c>
      <c r="C414" t="str">
        <f>VLOOKUP(A414, user_table!$A:$B, 2, FALSE)</f>
        <v>Female</v>
      </c>
      <c r="D414" t="str">
        <f>VLOOKUP(A414, user_table!$A:$F, 5, FALSE)</f>
        <v>Mobile</v>
      </c>
      <c r="E414" t="str">
        <f>VLOOKUP(A414, user_table!$A:$F, 6, FALSE)</f>
        <v>Social</v>
      </c>
      <c r="F414" s="1" t="str">
        <f>IF(ISNUMBER(MATCH(A414, search_page!$A:$A, 0)), "Yes", "No")</f>
        <v>Yes</v>
      </c>
    </row>
    <row r="415" spans="1:6">
      <c r="A415">
        <v>1414</v>
      </c>
      <c r="B415" s="2">
        <v>45352.953472222223</v>
      </c>
      <c r="C415" t="str">
        <f>VLOOKUP(A415, user_table!$A:$B, 2, FALSE)</f>
        <v>Female</v>
      </c>
      <c r="D415" t="str">
        <f>VLOOKUP(A415, user_table!$A:$F, 5, FALSE)</f>
        <v>Tablet</v>
      </c>
      <c r="E415" t="str">
        <f>VLOOKUP(A415, user_table!$A:$F, 6, FALSE)</f>
        <v>Social</v>
      </c>
      <c r="F415" s="1" t="str">
        <f>IF(ISNUMBER(MATCH(A415, search_page!$A:$A, 0)), "Yes", "No")</f>
        <v>Yes</v>
      </c>
    </row>
    <row r="416" spans="1:6">
      <c r="A416">
        <v>1415</v>
      </c>
      <c r="B416" s="2">
        <v>45309.9375</v>
      </c>
      <c r="C416" t="str">
        <f>VLOOKUP(A416, user_table!$A:$B, 2, FALSE)</f>
        <v>Female</v>
      </c>
      <c r="D416" t="str">
        <f>VLOOKUP(A416, user_table!$A:$F, 5, FALSE)</f>
        <v>Tablet</v>
      </c>
      <c r="E416" t="str">
        <f>VLOOKUP(A416, user_table!$A:$F, 6, FALSE)</f>
        <v>Paid</v>
      </c>
      <c r="F416" s="1" t="str">
        <f>IF(ISNUMBER(MATCH(A416, search_page!$A:$A, 0)), "Yes", "No")</f>
        <v>No</v>
      </c>
    </row>
    <row r="417" spans="1:6">
      <c r="A417">
        <v>1416</v>
      </c>
      <c r="B417" s="2">
        <v>45349.791666666664</v>
      </c>
      <c r="C417" t="str">
        <f>VLOOKUP(A417, user_table!$A:$B, 2, FALSE)</f>
        <v>Male</v>
      </c>
      <c r="D417" t="str">
        <f>VLOOKUP(A417, user_table!$A:$F, 5, FALSE)</f>
        <v>Desktop</v>
      </c>
      <c r="E417" t="str">
        <f>VLOOKUP(A417, user_table!$A:$F, 6, FALSE)</f>
        <v>Organic</v>
      </c>
      <c r="F417" s="1" t="str">
        <f>IF(ISNUMBER(MATCH(A417, search_page!$A:$A, 0)), "Yes", "No")</f>
        <v>No</v>
      </c>
    </row>
    <row r="418" spans="1:6">
      <c r="A418">
        <v>1417</v>
      </c>
      <c r="B418" s="2">
        <v>45302.011111111111</v>
      </c>
      <c r="C418" t="str">
        <f>VLOOKUP(A418, user_table!$A:$B, 2, FALSE)</f>
        <v>Male</v>
      </c>
      <c r="D418" t="str">
        <f>VLOOKUP(A418, user_table!$A:$F, 5, FALSE)</f>
        <v>Desktop</v>
      </c>
      <c r="E418" t="str">
        <f>VLOOKUP(A418, user_table!$A:$F, 6, FALSE)</f>
        <v>Email</v>
      </c>
      <c r="F418" s="1" t="str">
        <f>IF(ISNUMBER(MATCH(A418, search_page!$A:$A, 0)), "Yes", "No")</f>
        <v>Yes</v>
      </c>
    </row>
    <row r="419" spans="1:6">
      <c r="A419">
        <v>1418</v>
      </c>
      <c r="B419" s="2">
        <v>45319.190972222219</v>
      </c>
      <c r="C419" t="str">
        <f>VLOOKUP(A419, user_table!$A:$B, 2, FALSE)</f>
        <v>Male</v>
      </c>
      <c r="D419" t="str">
        <f>VLOOKUP(A419, user_table!$A:$F, 5, FALSE)</f>
        <v>Tablet</v>
      </c>
      <c r="E419" t="str">
        <f>VLOOKUP(A419, user_table!$A:$F, 6, FALSE)</f>
        <v>Organic</v>
      </c>
      <c r="F419" s="1" t="str">
        <f>IF(ISNUMBER(MATCH(A419, search_page!$A:$A, 0)), "Yes", "No")</f>
        <v>No</v>
      </c>
    </row>
    <row r="420" spans="1:6">
      <c r="A420">
        <v>1419</v>
      </c>
      <c r="B420" s="2">
        <v>45369.685416666667</v>
      </c>
      <c r="C420" t="str">
        <f>VLOOKUP(A420, user_table!$A:$B, 2, FALSE)</f>
        <v>Female</v>
      </c>
      <c r="D420" t="str">
        <f>VLOOKUP(A420, user_table!$A:$F, 5, FALSE)</f>
        <v>Mobile</v>
      </c>
      <c r="E420" t="str">
        <f>VLOOKUP(A420, user_table!$A:$F, 6, FALSE)</f>
        <v>Social</v>
      </c>
      <c r="F420" s="1" t="str">
        <f>IF(ISNUMBER(MATCH(A420, search_page!$A:$A, 0)), "Yes", "No")</f>
        <v>No</v>
      </c>
    </row>
    <row r="421" spans="1:6">
      <c r="A421">
        <v>1420</v>
      </c>
      <c r="B421" s="2">
        <v>45306.385416666664</v>
      </c>
      <c r="C421" t="str">
        <f>VLOOKUP(A421, user_table!$A:$B, 2, FALSE)</f>
        <v>Female</v>
      </c>
      <c r="D421" t="str">
        <f>VLOOKUP(A421, user_table!$A:$F, 5, FALSE)</f>
        <v>Tablet</v>
      </c>
      <c r="E421" t="str">
        <f>VLOOKUP(A421, user_table!$A:$F, 6, FALSE)</f>
        <v>Organic</v>
      </c>
      <c r="F421" s="1" t="str">
        <f>IF(ISNUMBER(MATCH(A421, search_page!$A:$A, 0)), "Yes", "No")</f>
        <v>No</v>
      </c>
    </row>
    <row r="422" spans="1:6">
      <c r="A422">
        <v>1421</v>
      </c>
      <c r="B422" s="2">
        <v>45330.127083333333</v>
      </c>
      <c r="C422" t="str">
        <f>VLOOKUP(A422, user_table!$A:$B, 2, FALSE)</f>
        <v>Female</v>
      </c>
      <c r="D422" t="str">
        <f>VLOOKUP(A422, user_table!$A:$F, 5, FALSE)</f>
        <v>Desktop</v>
      </c>
      <c r="E422" t="str">
        <f>VLOOKUP(A422, user_table!$A:$F, 6, FALSE)</f>
        <v>Social</v>
      </c>
      <c r="F422" s="1" t="str">
        <f>IF(ISNUMBER(MATCH(A422, search_page!$A:$A, 0)), "Yes", "No")</f>
        <v>Yes</v>
      </c>
    </row>
    <row r="423" spans="1:6">
      <c r="A423">
        <v>1422</v>
      </c>
      <c r="B423" s="2">
        <v>45322.569444444445</v>
      </c>
      <c r="C423" t="str">
        <f>VLOOKUP(A423, user_table!$A:$B, 2, FALSE)</f>
        <v>Female</v>
      </c>
      <c r="D423" t="str">
        <f>VLOOKUP(A423, user_table!$A:$F, 5, FALSE)</f>
        <v>Mobile</v>
      </c>
      <c r="E423" t="str">
        <f>VLOOKUP(A423, user_table!$A:$F, 6, FALSE)</f>
        <v>Social</v>
      </c>
      <c r="F423" s="1" t="str">
        <f>IF(ISNUMBER(MATCH(A423, search_page!$A:$A, 0)), "Yes", "No")</f>
        <v>Yes</v>
      </c>
    </row>
    <row r="424" spans="1:6">
      <c r="A424">
        <v>1423</v>
      </c>
      <c r="B424" s="2">
        <v>45371.586111111108</v>
      </c>
      <c r="C424" t="str">
        <f>VLOOKUP(A424, user_table!$A:$B, 2, FALSE)</f>
        <v>Male</v>
      </c>
      <c r="D424" t="str">
        <f>VLOOKUP(A424, user_table!$A:$F, 5, FALSE)</f>
        <v>Mobile</v>
      </c>
      <c r="E424" t="str">
        <f>VLOOKUP(A424, user_table!$A:$F, 6, FALSE)</f>
        <v>Organic</v>
      </c>
      <c r="F424" s="1" t="str">
        <f>IF(ISNUMBER(MATCH(A424, search_page!$A:$A, 0)), "Yes", "No")</f>
        <v>Yes</v>
      </c>
    </row>
    <row r="425" spans="1:6">
      <c r="A425">
        <v>1424</v>
      </c>
      <c r="B425" s="2">
        <v>45306.651388888888</v>
      </c>
      <c r="C425" t="str">
        <f>VLOOKUP(A425, user_table!$A:$B, 2, FALSE)</f>
        <v>Male</v>
      </c>
      <c r="D425" t="str">
        <f>VLOOKUP(A425, user_table!$A:$F, 5, FALSE)</f>
        <v>Mobile</v>
      </c>
      <c r="E425" t="str">
        <f>VLOOKUP(A425, user_table!$A:$F, 6, FALSE)</f>
        <v>Organic</v>
      </c>
      <c r="F425" s="1" t="str">
        <f>IF(ISNUMBER(MATCH(A425, search_page!$A:$A, 0)), "Yes", "No")</f>
        <v>No</v>
      </c>
    </row>
    <row r="426" spans="1:6">
      <c r="A426">
        <v>1425</v>
      </c>
      <c r="B426" s="2">
        <v>45360.027777777781</v>
      </c>
      <c r="C426" t="str">
        <f>VLOOKUP(A426, user_table!$A:$B, 2, FALSE)</f>
        <v>Male</v>
      </c>
      <c r="D426" t="str">
        <f>VLOOKUP(A426, user_table!$A:$F, 5, FALSE)</f>
        <v>Desktop</v>
      </c>
      <c r="E426" t="str">
        <f>VLOOKUP(A426, user_table!$A:$F, 6, FALSE)</f>
        <v>Organic</v>
      </c>
      <c r="F426" s="1" t="str">
        <f>IF(ISNUMBER(MATCH(A426, search_page!$A:$A, 0)), "Yes", "No")</f>
        <v>No</v>
      </c>
    </row>
    <row r="427" spans="1:6">
      <c r="A427">
        <v>1426</v>
      </c>
      <c r="B427" s="2">
        <v>45357.760416666664</v>
      </c>
      <c r="C427" t="str">
        <f>VLOOKUP(A427, user_table!$A:$B, 2, FALSE)</f>
        <v>Female</v>
      </c>
      <c r="D427" t="str">
        <f>VLOOKUP(A427, user_table!$A:$F, 5, FALSE)</f>
        <v>Desktop</v>
      </c>
      <c r="E427" t="str">
        <f>VLOOKUP(A427, user_table!$A:$F, 6, FALSE)</f>
        <v>Social</v>
      </c>
      <c r="F427" s="1" t="str">
        <f>IF(ISNUMBER(MATCH(A427, search_page!$A:$A, 0)), "Yes", "No")</f>
        <v>No</v>
      </c>
    </row>
    <row r="428" spans="1:6">
      <c r="A428">
        <v>1427</v>
      </c>
      <c r="B428" s="2">
        <v>45310.393750000003</v>
      </c>
      <c r="C428" t="str">
        <f>VLOOKUP(A428, user_table!$A:$B, 2, FALSE)</f>
        <v>Male</v>
      </c>
      <c r="D428" t="str">
        <f>VLOOKUP(A428, user_table!$A:$F, 5, FALSE)</f>
        <v>Mobile</v>
      </c>
      <c r="E428" t="str">
        <f>VLOOKUP(A428, user_table!$A:$F, 6, FALSE)</f>
        <v>Email</v>
      </c>
      <c r="F428" s="1" t="str">
        <f>IF(ISNUMBER(MATCH(A428, search_page!$A:$A, 0)), "Yes", "No")</f>
        <v>No</v>
      </c>
    </row>
    <row r="429" spans="1:6">
      <c r="A429">
        <v>1428</v>
      </c>
      <c r="B429" s="2">
        <v>45292.806944444441</v>
      </c>
      <c r="C429" t="str">
        <f>VLOOKUP(A429, user_table!$A:$B, 2, FALSE)</f>
        <v>Female</v>
      </c>
      <c r="D429" t="str">
        <f>VLOOKUP(A429, user_table!$A:$F, 5, FALSE)</f>
        <v>Desktop</v>
      </c>
      <c r="E429" t="str">
        <f>VLOOKUP(A429, user_table!$A:$F, 6, FALSE)</f>
        <v>Organic</v>
      </c>
      <c r="F429" s="1" t="str">
        <f>IF(ISNUMBER(MATCH(A429, search_page!$A:$A, 0)), "Yes", "No")</f>
        <v>No</v>
      </c>
    </row>
    <row r="430" spans="1:6">
      <c r="A430">
        <v>1429</v>
      </c>
      <c r="B430" s="2">
        <v>45322.768055555556</v>
      </c>
      <c r="C430" t="str">
        <f>VLOOKUP(A430, user_table!$A:$B, 2, FALSE)</f>
        <v>Male</v>
      </c>
      <c r="D430" t="str">
        <f>VLOOKUP(A430, user_table!$A:$F, 5, FALSE)</f>
        <v>Desktop</v>
      </c>
      <c r="E430" t="str">
        <f>VLOOKUP(A430, user_table!$A:$F, 6, FALSE)</f>
        <v>Social</v>
      </c>
      <c r="F430" s="1" t="str">
        <f>IF(ISNUMBER(MATCH(A430, search_page!$A:$A, 0)), "Yes", "No")</f>
        <v>No</v>
      </c>
    </row>
    <row r="431" spans="1:6">
      <c r="A431">
        <v>1430</v>
      </c>
      <c r="B431" s="2">
        <v>45315.904166666667</v>
      </c>
      <c r="C431" t="str">
        <f>VLOOKUP(A431, user_table!$A:$B, 2, FALSE)</f>
        <v>Male</v>
      </c>
      <c r="D431" t="str">
        <f>VLOOKUP(A431, user_table!$A:$F, 5, FALSE)</f>
        <v>Tablet</v>
      </c>
      <c r="E431" t="str">
        <f>VLOOKUP(A431, user_table!$A:$F, 6, FALSE)</f>
        <v>Paid</v>
      </c>
      <c r="F431" s="1" t="str">
        <f>IF(ISNUMBER(MATCH(A431, search_page!$A:$A, 0)), "Yes", "No")</f>
        <v>Yes</v>
      </c>
    </row>
    <row r="432" spans="1:6">
      <c r="A432">
        <v>1431</v>
      </c>
      <c r="B432" s="2">
        <v>45302.682638888888</v>
      </c>
      <c r="C432" t="str">
        <f>VLOOKUP(A432, user_table!$A:$B, 2, FALSE)</f>
        <v>Male</v>
      </c>
      <c r="D432" t="str">
        <f>VLOOKUP(A432, user_table!$A:$F, 5, FALSE)</f>
        <v>Desktop</v>
      </c>
      <c r="E432" t="str">
        <f>VLOOKUP(A432, user_table!$A:$F, 6, FALSE)</f>
        <v>Paid</v>
      </c>
      <c r="F432" s="1" t="str">
        <f>IF(ISNUMBER(MATCH(A432, search_page!$A:$A, 0)), "Yes", "No")</f>
        <v>No</v>
      </c>
    </row>
    <row r="433" spans="1:6">
      <c r="A433">
        <v>1432</v>
      </c>
      <c r="B433" s="2">
        <v>45300.69027777778</v>
      </c>
      <c r="C433" t="str">
        <f>VLOOKUP(A433, user_table!$A:$B, 2, FALSE)</f>
        <v>Female</v>
      </c>
      <c r="D433" t="str">
        <f>VLOOKUP(A433, user_table!$A:$F, 5, FALSE)</f>
        <v>Mobile</v>
      </c>
      <c r="E433" t="str">
        <f>VLOOKUP(A433, user_table!$A:$F, 6, FALSE)</f>
        <v>Direct</v>
      </c>
      <c r="F433" s="1" t="str">
        <f>IF(ISNUMBER(MATCH(A433, search_page!$A:$A, 0)), "Yes", "No")</f>
        <v>Yes</v>
      </c>
    </row>
    <row r="434" spans="1:6">
      <c r="A434">
        <v>1433</v>
      </c>
      <c r="B434" s="2">
        <v>45356.690972222219</v>
      </c>
      <c r="C434" t="str">
        <f>VLOOKUP(A434, user_table!$A:$B, 2, FALSE)</f>
        <v>Female</v>
      </c>
      <c r="D434" t="str">
        <f>VLOOKUP(A434, user_table!$A:$F, 5, FALSE)</f>
        <v>Desktop</v>
      </c>
      <c r="E434" t="str">
        <f>VLOOKUP(A434, user_table!$A:$F, 6, FALSE)</f>
        <v>Paid</v>
      </c>
      <c r="F434" s="1" t="str">
        <f>IF(ISNUMBER(MATCH(A434, search_page!$A:$A, 0)), "Yes", "No")</f>
        <v>Yes</v>
      </c>
    </row>
    <row r="435" spans="1:6">
      <c r="A435">
        <v>1434</v>
      </c>
      <c r="B435" s="2">
        <v>45294.538194444445</v>
      </c>
      <c r="C435" t="str">
        <f>VLOOKUP(A435, user_table!$A:$B, 2, FALSE)</f>
        <v>Male</v>
      </c>
      <c r="D435" t="str">
        <f>VLOOKUP(A435, user_table!$A:$F, 5, FALSE)</f>
        <v>Mobile</v>
      </c>
      <c r="E435" t="str">
        <f>VLOOKUP(A435, user_table!$A:$F, 6, FALSE)</f>
        <v>Paid</v>
      </c>
      <c r="F435" s="1" t="str">
        <f>IF(ISNUMBER(MATCH(A435, search_page!$A:$A, 0)), "Yes", "No")</f>
        <v>Yes</v>
      </c>
    </row>
    <row r="436" spans="1:6">
      <c r="A436">
        <v>1435</v>
      </c>
      <c r="B436" s="2">
        <v>45352.069444444445</v>
      </c>
      <c r="C436" t="str">
        <f>VLOOKUP(A436, user_table!$A:$B, 2, FALSE)</f>
        <v>Male</v>
      </c>
      <c r="D436" t="str">
        <f>VLOOKUP(A436, user_table!$A:$F, 5, FALSE)</f>
        <v>Tablet</v>
      </c>
      <c r="E436" t="str">
        <f>VLOOKUP(A436, user_table!$A:$F, 6, FALSE)</f>
        <v>Organic</v>
      </c>
      <c r="F436" s="1" t="str">
        <f>IF(ISNUMBER(MATCH(A436, search_page!$A:$A, 0)), "Yes", "No")</f>
        <v>No</v>
      </c>
    </row>
    <row r="437" spans="1:6">
      <c r="A437">
        <v>1436</v>
      </c>
      <c r="B437" s="2">
        <v>45341.469444444447</v>
      </c>
      <c r="C437" t="str">
        <f>VLOOKUP(A437, user_table!$A:$B, 2, FALSE)</f>
        <v>Female</v>
      </c>
      <c r="D437" t="str">
        <f>VLOOKUP(A437, user_table!$A:$F, 5, FALSE)</f>
        <v>Desktop</v>
      </c>
      <c r="E437" t="str">
        <f>VLOOKUP(A437, user_table!$A:$F, 6, FALSE)</f>
        <v>Organic</v>
      </c>
      <c r="F437" s="1" t="str">
        <f>IF(ISNUMBER(MATCH(A437, search_page!$A:$A, 0)), "Yes", "No")</f>
        <v>No</v>
      </c>
    </row>
    <row r="438" spans="1:6">
      <c r="A438">
        <v>1437</v>
      </c>
      <c r="B438" s="2">
        <v>45294.493055555555</v>
      </c>
      <c r="C438" t="str">
        <f>VLOOKUP(A438, user_table!$A:$B, 2, FALSE)</f>
        <v>Male</v>
      </c>
      <c r="D438" t="str">
        <f>VLOOKUP(A438, user_table!$A:$F, 5, FALSE)</f>
        <v>Desktop</v>
      </c>
      <c r="E438" t="str">
        <f>VLOOKUP(A438, user_table!$A:$F, 6, FALSE)</f>
        <v>Organic</v>
      </c>
      <c r="F438" s="1" t="str">
        <f>IF(ISNUMBER(MATCH(A438, search_page!$A:$A, 0)), "Yes", "No")</f>
        <v>No</v>
      </c>
    </row>
    <row r="439" spans="1:6">
      <c r="A439">
        <v>1438</v>
      </c>
      <c r="B439" s="2">
        <v>45300.46875</v>
      </c>
      <c r="C439" t="str">
        <f>VLOOKUP(A439, user_table!$A:$B, 2, FALSE)</f>
        <v>Female</v>
      </c>
      <c r="D439" t="str">
        <f>VLOOKUP(A439, user_table!$A:$F, 5, FALSE)</f>
        <v>Desktop</v>
      </c>
      <c r="E439" t="str">
        <f>VLOOKUP(A439, user_table!$A:$F, 6, FALSE)</f>
        <v>Organic</v>
      </c>
      <c r="F439" s="1" t="str">
        <f>IF(ISNUMBER(MATCH(A439, search_page!$A:$A, 0)), "Yes", "No")</f>
        <v>Yes</v>
      </c>
    </row>
    <row r="440" spans="1:6">
      <c r="A440">
        <v>1439</v>
      </c>
      <c r="B440" s="2">
        <v>45376.837500000001</v>
      </c>
      <c r="C440" t="str">
        <f>VLOOKUP(A440, user_table!$A:$B, 2, FALSE)</f>
        <v>Female</v>
      </c>
      <c r="D440" t="str">
        <f>VLOOKUP(A440, user_table!$A:$F, 5, FALSE)</f>
        <v>Desktop</v>
      </c>
      <c r="E440" t="str">
        <f>VLOOKUP(A440, user_table!$A:$F, 6, FALSE)</f>
        <v>Social</v>
      </c>
      <c r="F440" s="1" t="str">
        <f>IF(ISNUMBER(MATCH(A440, search_page!$A:$A, 0)), "Yes", "No")</f>
        <v>Yes</v>
      </c>
    </row>
    <row r="441" spans="1:6">
      <c r="A441">
        <v>1440</v>
      </c>
      <c r="B441" s="2">
        <v>45366.991666666669</v>
      </c>
      <c r="C441" t="str">
        <f>VLOOKUP(A441, user_table!$A:$B, 2, FALSE)</f>
        <v>Male</v>
      </c>
      <c r="D441" t="str">
        <f>VLOOKUP(A441, user_table!$A:$F, 5, FALSE)</f>
        <v>Mobile</v>
      </c>
      <c r="E441" t="str">
        <f>VLOOKUP(A441, user_table!$A:$F, 6, FALSE)</f>
        <v>Paid</v>
      </c>
      <c r="F441" s="1" t="str">
        <f>IF(ISNUMBER(MATCH(A441, search_page!$A:$A, 0)), "Yes", "No")</f>
        <v>No</v>
      </c>
    </row>
    <row r="442" spans="1:6">
      <c r="A442">
        <v>1441</v>
      </c>
      <c r="B442" s="2">
        <v>45334.168055555558</v>
      </c>
      <c r="C442" t="str">
        <f>VLOOKUP(A442, user_table!$A:$B, 2, FALSE)</f>
        <v>Male</v>
      </c>
      <c r="D442" t="str">
        <f>VLOOKUP(A442, user_table!$A:$F, 5, FALSE)</f>
        <v>Tablet</v>
      </c>
      <c r="E442" t="str">
        <f>VLOOKUP(A442, user_table!$A:$F, 6, FALSE)</f>
        <v>Paid</v>
      </c>
      <c r="F442" s="1" t="str">
        <f>IF(ISNUMBER(MATCH(A442, search_page!$A:$A, 0)), "Yes", "No")</f>
        <v>Yes</v>
      </c>
    </row>
    <row r="443" spans="1:6">
      <c r="A443">
        <v>1442</v>
      </c>
      <c r="B443" s="2">
        <v>45337.722916666666</v>
      </c>
      <c r="C443" t="str">
        <f>VLOOKUP(A443, user_table!$A:$B, 2, FALSE)</f>
        <v>Female</v>
      </c>
      <c r="D443" t="str">
        <f>VLOOKUP(A443, user_table!$A:$F, 5, FALSE)</f>
        <v>Desktop</v>
      </c>
      <c r="E443" t="str">
        <f>VLOOKUP(A443, user_table!$A:$F, 6, FALSE)</f>
        <v>Organic</v>
      </c>
      <c r="F443" s="1" t="str">
        <f>IF(ISNUMBER(MATCH(A443, search_page!$A:$A, 0)), "Yes", "No")</f>
        <v>Yes</v>
      </c>
    </row>
    <row r="444" spans="1:6">
      <c r="A444">
        <v>1443</v>
      </c>
      <c r="B444" s="2">
        <v>45374.245138888888</v>
      </c>
      <c r="C444" t="str">
        <f>VLOOKUP(A444, user_table!$A:$B, 2, FALSE)</f>
        <v>Male</v>
      </c>
      <c r="D444" t="str">
        <f>VLOOKUP(A444, user_table!$A:$F, 5, FALSE)</f>
        <v>Desktop</v>
      </c>
      <c r="E444" t="str">
        <f>VLOOKUP(A444, user_table!$A:$F, 6, FALSE)</f>
        <v>Organic</v>
      </c>
      <c r="F444" s="1" t="str">
        <f>IF(ISNUMBER(MATCH(A444, search_page!$A:$A, 0)), "Yes", "No")</f>
        <v>Yes</v>
      </c>
    </row>
    <row r="445" spans="1:6">
      <c r="A445">
        <v>1444</v>
      </c>
      <c r="B445" s="2">
        <v>45379.613888888889</v>
      </c>
      <c r="C445" t="str">
        <f>VLOOKUP(A445, user_table!$A:$B, 2, FALSE)</f>
        <v>Male</v>
      </c>
      <c r="D445" t="str">
        <f>VLOOKUP(A445, user_table!$A:$F, 5, FALSE)</f>
        <v>Desktop</v>
      </c>
      <c r="E445" t="str">
        <f>VLOOKUP(A445, user_table!$A:$F, 6, FALSE)</f>
        <v>Social</v>
      </c>
      <c r="F445" s="1" t="str">
        <f>IF(ISNUMBER(MATCH(A445, search_page!$A:$A, 0)), "Yes", "No")</f>
        <v>No</v>
      </c>
    </row>
    <row r="446" spans="1:6">
      <c r="A446">
        <v>1445</v>
      </c>
      <c r="B446" s="2">
        <v>45353.84097222222</v>
      </c>
      <c r="C446" t="str">
        <f>VLOOKUP(A446, user_table!$A:$B, 2, FALSE)</f>
        <v>Female</v>
      </c>
      <c r="D446" t="str">
        <f>VLOOKUP(A446, user_table!$A:$F, 5, FALSE)</f>
        <v>Mobile</v>
      </c>
      <c r="E446" t="str">
        <f>VLOOKUP(A446, user_table!$A:$F, 6, FALSE)</f>
        <v>Direct</v>
      </c>
      <c r="F446" s="1" t="str">
        <f>IF(ISNUMBER(MATCH(A446, search_page!$A:$A, 0)), "Yes", "No")</f>
        <v>No</v>
      </c>
    </row>
    <row r="447" spans="1:6">
      <c r="A447">
        <v>1446</v>
      </c>
      <c r="B447" s="2">
        <v>45309.114583333336</v>
      </c>
      <c r="C447" t="str">
        <f>VLOOKUP(A447, user_table!$A:$B, 2, FALSE)</f>
        <v>Female</v>
      </c>
      <c r="D447" t="str">
        <f>VLOOKUP(A447, user_table!$A:$F, 5, FALSE)</f>
        <v>Desktop</v>
      </c>
      <c r="E447" t="str">
        <f>VLOOKUP(A447, user_table!$A:$F, 6, FALSE)</f>
        <v>Organic</v>
      </c>
      <c r="F447" s="1" t="str">
        <f>IF(ISNUMBER(MATCH(A447, search_page!$A:$A, 0)), "Yes", "No")</f>
        <v>Yes</v>
      </c>
    </row>
    <row r="448" spans="1:6">
      <c r="A448">
        <v>1447</v>
      </c>
      <c r="B448" s="2">
        <v>45350.054166666669</v>
      </c>
      <c r="C448" t="str">
        <f>VLOOKUP(A448, user_table!$A:$B, 2, FALSE)</f>
        <v>Female</v>
      </c>
      <c r="D448" t="str">
        <f>VLOOKUP(A448, user_table!$A:$F, 5, FALSE)</f>
        <v>Mobile</v>
      </c>
      <c r="E448" t="str">
        <f>VLOOKUP(A448, user_table!$A:$F, 6, FALSE)</f>
        <v>Email</v>
      </c>
      <c r="F448" s="1" t="str">
        <f>IF(ISNUMBER(MATCH(A448, search_page!$A:$A, 0)), "Yes", "No")</f>
        <v>Yes</v>
      </c>
    </row>
    <row r="449" spans="1:6">
      <c r="A449">
        <v>1448</v>
      </c>
      <c r="B449" s="2">
        <v>45317.076388888891</v>
      </c>
      <c r="C449" t="str">
        <f>VLOOKUP(A449, user_table!$A:$B, 2, FALSE)</f>
        <v>Female</v>
      </c>
      <c r="D449" t="str">
        <f>VLOOKUP(A449, user_table!$A:$F, 5, FALSE)</f>
        <v>Mobile</v>
      </c>
      <c r="E449" t="str">
        <f>VLOOKUP(A449, user_table!$A:$F, 6, FALSE)</f>
        <v>Social</v>
      </c>
      <c r="F449" s="1" t="str">
        <f>IF(ISNUMBER(MATCH(A449, search_page!$A:$A, 0)), "Yes", "No")</f>
        <v>No</v>
      </c>
    </row>
    <row r="450" spans="1:6">
      <c r="A450">
        <v>1449</v>
      </c>
      <c r="B450" s="2">
        <v>45317.055555555555</v>
      </c>
      <c r="C450" t="str">
        <f>VLOOKUP(A450, user_table!$A:$B, 2, FALSE)</f>
        <v>Male</v>
      </c>
      <c r="D450" t="str">
        <f>VLOOKUP(A450, user_table!$A:$F, 5, FALSE)</f>
        <v>Mobile</v>
      </c>
      <c r="E450" t="str">
        <f>VLOOKUP(A450, user_table!$A:$F, 6, FALSE)</f>
        <v>Social</v>
      </c>
      <c r="F450" s="1" t="str">
        <f>IF(ISNUMBER(MATCH(A450, search_page!$A:$A, 0)), "Yes", "No")</f>
        <v>Yes</v>
      </c>
    </row>
    <row r="451" spans="1:6">
      <c r="A451">
        <v>1450</v>
      </c>
      <c r="B451" s="2">
        <v>45331.684027777781</v>
      </c>
      <c r="C451" t="str">
        <f>VLOOKUP(A451, user_table!$A:$B, 2, FALSE)</f>
        <v>Male</v>
      </c>
      <c r="D451" t="str">
        <f>VLOOKUP(A451, user_table!$A:$F, 5, FALSE)</f>
        <v>Desktop</v>
      </c>
      <c r="E451" t="str">
        <f>VLOOKUP(A451, user_table!$A:$F, 6, FALSE)</f>
        <v>Paid</v>
      </c>
      <c r="F451" s="1" t="str">
        <f>IF(ISNUMBER(MATCH(A451, search_page!$A:$A, 0)), "Yes", "No")</f>
        <v>Yes</v>
      </c>
    </row>
    <row r="452" spans="1:6">
      <c r="A452">
        <v>1451</v>
      </c>
      <c r="B452" s="2">
        <v>45361.636111111111</v>
      </c>
      <c r="C452" t="str">
        <f>VLOOKUP(A452, user_table!$A:$B, 2, FALSE)</f>
        <v>Female</v>
      </c>
      <c r="D452" t="str">
        <f>VLOOKUP(A452, user_table!$A:$F, 5, FALSE)</f>
        <v>Mobile</v>
      </c>
      <c r="E452" t="str">
        <f>VLOOKUP(A452, user_table!$A:$F, 6, FALSE)</f>
        <v>Organic</v>
      </c>
      <c r="F452" s="1" t="str">
        <f>IF(ISNUMBER(MATCH(A452, search_page!$A:$A, 0)), "Yes", "No")</f>
        <v>No</v>
      </c>
    </row>
    <row r="453" spans="1:6">
      <c r="A453">
        <v>1452</v>
      </c>
      <c r="B453" s="2">
        <v>45296.841666666667</v>
      </c>
      <c r="C453" t="str">
        <f>VLOOKUP(A453, user_table!$A:$B, 2, FALSE)</f>
        <v>Female</v>
      </c>
      <c r="D453" t="str">
        <f>VLOOKUP(A453, user_table!$A:$F, 5, FALSE)</f>
        <v>Desktop</v>
      </c>
      <c r="E453" t="str">
        <f>VLOOKUP(A453, user_table!$A:$F, 6, FALSE)</f>
        <v>Organic</v>
      </c>
      <c r="F453" s="1" t="str">
        <f>IF(ISNUMBER(MATCH(A453, search_page!$A:$A, 0)), "Yes", "No")</f>
        <v>No</v>
      </c>
    </row>
    <row r="454" spans="1:6">
      <c r="A454">
        <v>1453</v>
      </c>
      <c r="B454" s="2">
        <v>45328.496527777781</v>
      </c>
      <c r="C454" t="str">
        <f>VLOOKUP(A454, user_table!$A:$B, 2, FALSE)</f>
        <v>Male</v>
      </c>
      <c r="D454" t="str">
        <f>VLOOKUP(A454, user_table!$A:$F, 5, FALSE)</f>
        <v>Desktop</v>
      </c>
      <c r="E454" t="str">
        <f>VLOOKUP(A454, user_table!$A:$F, 6, FALSE)</f>
        <v>Social</v>
      </c>
      <c r="F454" s="1" t="str">
        <f>IF(ISNUMBER(MATCH(A454, search_page!$A:$A, 0)), "Yes", "No")</f>
        <v>Yes</v>
      </c>
    </row>
    <row r="455" spans="1:6">
      <c r="A455">
        <v>1454</v>
      </c>
      <c r="B455" s="2">
        <v>45298.847916666666</v>
      </c>
      <c r="C455" t="str">
        <f>VLOOKUP(A455, user_table!$A:$B, 2, FALSE)</f>
        <v>Female</v>
      </c>
      <c r="D455" t="str">
        <f>VLOOKUP(A455, user_table!$A:$F, 5, FALSE)</f>
        <v>Tablet</v>
      </c>
      <c r="E455" t="str">
        <f>VLOOKUP(A455, user_table!$A:$F, 6, FALSE)</f>
        <v>Paid</v>
      </c>
      <c r="F455" s="1" t="str">
        <f>IF(ISNUMBER(MATCH(A455, search_page!$A:$A, 0)), "Yes", "No")</f>
        <v>Yes</v>
      </c>
    </row>
    <row r="456" spans="1:6">
      <c r="A456">
        <v>1455</v>
      </c>
      <c r="B456" s="2">
        <v>45326.160416666666</v>
      </c>
      <c r="C456" t="str">
        <f>VLOOKUP(A456, user_table!$A:$B, 2, FALSE)</f>
        <v>Male</v>
      </c>
      <c r="D456" t="str">
        <f>VLOOKUP(A456, user_table!$A:$F, 5, FALSE)</f>
        <v>Mobile</v>
      </c>
      <c r="E456" t="str">
        <f>VLOOKUP(A456, user_table!$A:$F, 6, FALSE)</f>
        <v>Direct</v>
      </c>
      <c r="F456" s="1" t="str">
        <f>IF(ISNUMBER(MATCH(A456, search_page!$A:$A, 0)), "Yes", "No")</f>
        <v>No</v>
      </c>
    </row>
    <row r="457" spans="1:6">
      <c r="A457">
        <v>1456</v>
      </c>
      <c r="B457" s="2">
        <v>45339.580555555556</v>
      </c>
      <c r="C457" t="str">
        <f>VLOOKUP(A457, user_table!$A:$B, 2, FALSE)</f>
        <v>Male</v>
      </c>
      <c r="D457" t="str">
        <f>VLOOKUP(A457, user_table!$A:$F, 5, FALSE)</f>
        <v>Desktop</v>
      </c>
      <c r="E457" t="str">
        <f>VLOOKUP(A457, user_table!$A:$F, 6, FALSE)</f>
        <v>Paid</v>
      </c>
      <c r="F457" s="1" t="str">
        <f>IF(ISNUMBER(MATCH(A457, search_page!$A:$A, 0)), "Yes", "No")</f>
        <v>No</v>
      </c>
    </row>
    <row r="458" spans="1:6">
      <c r="A458">
        <v>1457</v>
      </c>
      <c r="B458" s="2">
        <v>45343.977777777778</v>
      </c>
      <c r="C458" t="str">
        <f>VLOOKUP(A458, user_table!$A:$B, 2, FALSE)</f>
        <v>Male</v>
      </c>
      <c r="D458" t="str">
        <f>VLOOKUP(A458, user_table!$A:$F, 5, FALSE)</f>
        <v>Desktop</v>
      </c>
      <c r="E458" t="str">
        <f>VLOOKUP(A458, user_table!$A:$F, 6, FALSE)</f>
        <v>Organic</v>
      </c>
      <c r="F458" s="1" t="str">
        <f>IF(ISNUMBER(MATCH(A458, search_page!$A:$A, 0)), "Yes", "No")</f>
        <v>No</v>
      </c>
    </row>
    <row r="459" spans="1:6">
      <c r="A459">
        <v>1458</v>
      </c>
      <c r="B459" s="2">
        <v>45341.424305555556</v>
      </c>
      <c r="C459" t="str">
        <f>VLOOKUP(A459, user_table!$A:$B, 2, FALSE)</f>
        <v>Male</v>
      </c>
      <c r="D459" t="str">
        <f>VLOOKUP(A459, user_table!$A:$F, 5, FALSE)</f>
        <v>Desktop</v>
      </c>
      <c r="E459" t="str">
        <f>VLOOKUP(A459, user_table!$A:$F, 6, FALSE)</f>
        <v>Social</v>
      </c>
      <c r="F459" s="1" t="str">
        <f>IF(ISNUMBER(MATCH(A459, search_page!$A:$A, 0)), "Yes", "No")</f>
        <v>No</v>
      </c>
    </row>
    <row r="460" spans="1:6">
      <c r="A460">
        <v>1459</v>
      </c>
      <c r="B460" s="2">
        <v>45355.938194444447</v>
      </c>
      <c r="C460" t="str">
        <f>VLOOKUP(A460, user_table!$A:$B, 2, FALSE)</f>
        <v>Male</v>
      </c>
      <c r="D460" t="str">
        <f>VLOOKUP(A460, user_table!$A:$F, 5, FALSE)</f>
        <v>Desktop</v>
      </c>
      <c r="E460" t="str">
        <f>VLOOKUP(A460, user_table!$A:$F, 6, FALSE)</f>
        <v>Organic</v>
      </c>
      <c r="F460" s="1" t="str">
        <f>IF(ISNUMBER(MATCH(A460, search_page!$A:$A, 0)), "Yes", "No")</f>
        <v>No</v>
      </c>
    </row>
    <row r="461" spans="1:6">
      <c r="A461">
        <v>1460</v>
      </c>
      <c r="B461" s="2">
        <v>45339.678472222222</v>
      </c>
      <c r="C461" t="str">
        <f>VLOOKUP(A461, user_table!$A:$B, 2, FALSE)</f>
        <v>Male</v>
      </c>
      <c r="D461" t="str">
        <f>VLOOKUP(A461, user_table!$A:$F, 5, FALSE)</f>
        <v>Desktop</v>
      </c>
      <c r="E461" t="str">
        <f>VLOOKUP(A461, user_table!$A:$F, 6, FALSE)</f>
        <v>Paid</v>
      </c>
      <c r="F461" s="1" t="str">
        <f>IF(ISNUMBER(MATCH(A461, search_page!$A:$A, 0)), "Yes", "No")</f>
        <v>Yes</v>
      </c>
    </row>
    <row r="462" spans="1:6">
      <c r="A462">
        <v>1461</v>
      </c>
      <c r="B462" s="2">
        <v>45302.977083333331</v>
      </c>
      <c r="C462" t="str">
        <f>VLOOKUP(A462, user_table!$A:$B, 2, FALSE)</f>
        <v>Male</v>
      </c>
      <c r="D462" t="str">
        <f>VLOOKUP(A462, user_table!$A:$F, 5, FALSE)</f>
        <v>Desktop</v>
      </c>
      <c r="E462" t="str">
        <f>VLOOKUP(A462, user_table!$A:$F, 6, FALSE)</f>
        <v>Social</v>
      </c>
      <c r="F462" s="1" t="str">
        <f>IF(ISNUMBER(MATCH(A462, search_page!$A:$A, 0)), "Yes", "No")</f>
        <v>Yes</v>
      </c>
    </row>
    <row r="463" spans="1:6">
      <c r="A463">
        <v>1462</v>
      </c>
      <c r="B463" s="2">
        <v>45302.568055555559</v>
      </c>
      <c r="C463" t="str">
        <f>VLOOKUP(A463, user_table!$A:$B, 2, FALSE)</f>
        <v>Female</v>
      </c>
      <c r="D463" t="str">
        <f>VLOOKUP(A463, user_table!$A:$F, 5, FALSE)</f>
        <v>Desktop</v>
      </c>
      <c r="E463" t="str">
        <f>VLOOKUP(A463, user_table!$A:$F, 6, FALSE)</f>
        <v>Direct</v>
      </c>
      <c r="F463" s="1" t="str">
        <f>IF(ISNUMBER(MATCH(A463, search_page!$A:$A, 0)), "Yes", "No")</f>
        <v>No</v>
      </c>
    </row>
    <row r="464" spans="1:6">
      <c r="A464">
        <v>1463</v>
      </c>
      <c r="B464" s="2">
        <v>45315.720833333333</v>
      </c>
      <c r="C464" t="str">
        <f>VLOOKUP(A464, user_table!$A:$B, 2, FALSE)</f>
        <v>Female</v>
      </c>
      <c r="D464" t="str">
        <f>VLOOKUP(A464, user_table!$A:$F, 5, FALSE)</f>
        <v>Mobile</v>
      </c>
      <c r="E464" t="str">
        <f>VLOOKUP(A464, user_table!$A:$F, 6, FALSE)</f>
        <v>Email</v>
      </c>
      <c r="F464" s="1" t="str">
        <f>IF(ISNUMBER(MATCH(A464, search_page!$A:$A, 0)), "Yes", "No")</f>
        <v>Yes</v>
      </c>
    </row>
    <row r="465" spans="1:6">
      <c r="A465">
        <v>1464</v>
      </c>
      <c r="B465" s="2">
        <v>45333.128472222219</v>
      </c>
      <c r="C465" t="str">
        <f>VLOOKUP(A465, user_table!$A:$B, 2, FALSE)</f>
        <v>Female</v>
      </c>
      <c r="D465" t="str">
        <f>VLOOKUP(A465, user_table!$A:$F, 5, FALSE)</f>
        <v>Mobile</v>
      </c>
      <c r="E465" t="str">
        <f>VLOOKUP(A465, user_table!$A:$F, 6, FALSE)</f>
        <v>Social</v>
      </c>
      <c r="F465" s="1" t="str">
        <f>IF(ISNUMBER(MATCH(A465, search_page!$A:$A, 0)), "Yes", "No")</f>
        <v>No</v>
      </c>
    </row>
    <row r="466" spans="1:6">
      <c r="A466">
        <v>1465</v>
      </c>
      <c r="B466" s="2">
        <v>45333.887499999997</v>
      </c>
      <c r="C466" t="str">
        <f>VLOOKUP(A466, user_table!$A:$B, 2, FALSE)</f>
        <v>Female</v>
      </c>
      <c r="D466" t="str">
        <f>VLOOKUP(A466, user_table!$A:$F, 5, FALSE)</f>
        <v>Mobile</v>
      </c>
      <c r="E466" t="str">
        <f>VLOOKUP(A466, user_table!$A:$F, 6, FALSE)</f>
        <v>Social</v>
      </c>
      <c r="F466" s="1" t="str">
        <f>IF(ISNUMBER(MATCH(A466, search_page!$A:$A, 0)), "Yes", "No")</f>
        <v>Yes</v>
      </c>
    </row>
    <row r="467" spans="1:6">
      <c r="A467">
        <v>1466</v>
      </c>
      <c r="B467" s="2">
        <v>45331.609722222223</v>
      </c>
      <c r="C467" t="str">
        <f>VLOOKUP(A467, user_table!$A:$B, 2, FALSE)</f>
        <v>Male</v>
      </c>
      <c r="D467" t="str">
        <f>VLOOKUP(A467, user_table!$A:$F, 5, FALSE)</f>
        <v>Desktop</v>
      </c>
      <c r="E467" t="str">
        <f>VLOOKUP(A467, user_table!$A:$F, 6, FALSE)</f>
        <v>Direct</v>
      </c>
      <c r="F467" s="1" t="str">
        <f>IF(ISNUMBER(MATCH(A467, search_page!$A:$A, 0)), "Yes", "No")</f>
        <v>Yes</v>
      </c>
    </row>
    <row r="468" spans="1:6">
      <c r="A468">
        <v>1467</v>
      </c>
      <c r="B468" s="2">
        <v>45346.238888888889</v>
      </c>
      <c r="C468" t="str">
        <f>VLOOKUP(A468, user_table!$A:$B, 2, FALSE)</f>
        <v>Male</v>
      </c>
      <c r="D468" t="str">
        <f>VLOOKUP(A468, user_table!$A:$F, 5, FALSE)</f>
        <v>Tablet</v>
      </c>
      <c r="E468" t="str">
        <f>VLOOKUP(A468, user_table!$A:$F, 6, FALSE)</f>
        <v>Organic</v>
      </c>
      <c r="F468" s="1" t="str">
        <f>IF(ISNUMBER(MATCH(A468, search_page!$A:$A, 0)), "Yes", "No")</f>
        <v>No</v>
      </c>
    </row>
    <row r="469" spans="1:6">
      <c r="A469">
        <v>1468</v>
      </c>
      <c r="B469" s="2">
        <v>45348.477777777778</v>
      </c>
      <c r="C469" t="str">
        <f>VLOOKUP(A469, user_table!$A:$B, 2, FALSE)</f>
        <v>Female</v>
      </c>
      <c r="D469" t="str">
        <f>VLOOKUP(A469, user_table!$A:$F, 5, FALSE)</f>
        <v>Mobile</v>
      </c>
      <c r="E469" t="str">
        <f>VLOOKUP(A469, user_table!$A:$F, 6, FALSE)</f>
        <v>Organic</v>
      </c>
      <c r="F469" s="1" t="str">
        <f>IF(ISNUMBER(MATCH(A469, search_page!$A:$A, 0)), "Yes", "No")</f>
        <v>No</v>
      </c>
    </row>
    <row r="470" spans="1:6">
      <c r="A470">
        <v>1469</v>
      </c>
      <c r="B470" s="2">
        <v>45297.996527777781</v>
      </c>
      <c r="C470" t="str">
        <f>VLOOKUP(A470, user_table!$A:$B, 2, FALSE)</f>
        <v>Male</v>
      </c>
      <c r="D470" t="str">
        <f>VLOOKUP(A470, user_table!$A:$F, 5, FALSE)</f>
        <v>Mobile</v>
      </c>
      <c r="E470" t="str">
        <f>VLOOKUP(A470, user_table!$A:$F, 6, FALSE)</f>
        <v>Organic</v>
      </c>
      <c r="F470" s="1" t="str">
        <f>IF(ISNUMBER(MATCH(A470, search_page!$A:$A, 0)), "Yes", "No")</f>
        <v>Yes</v>
      </c>
    </row>
    <row r="471" spans="1:6">
      <c r="A471">
        <v>1470</v>
      </c>
      <c r="B471" s="2">
        <v>45337.810416666667</v>
      </c>
      <c r="C471" t="str">
        <f>VLOOKUP(A471, user_table!$A:$B, 2, FALSE)</f>
        <v>Female</v>
      </c>
      <c r="D471" t="str">
        <f>VLOOKUP(A471, user_table!$A:$F, 5, FALSE)</f>
        <v>Mobile</v>
      </c>
      <c r="E471" t="str">
        <f>VLOOKUP(A471, user_table!$A:$F, 6, FALSE)</f>
        <v>Organic</v>
      </c>
      <c r="F471" s="1" t="str">
        <f>IF(ISNUMBER(MATCH(A471, search_page!$A:$A, 0)), "Yes", "No")</f>
        <v>Yes</v>
      </c>
    </row>
    <row r="472" spans="1:6">
      <c r="A472">
        <v>1471</v>
      </c>
      <c r="B472" s="2">
        <v>45327.868055555555</v>
      </c>
      <c r="C472" t="str">
        <f>VLOOKUP(A472, user_table!$A:$B, 2, FALSE)</f>
        <v>Male</v>
      </c>
      <c r="D472" t="str">
        <f>VLOOKUP(A472, user_table!$A:$F, 5, FALSE)</f>
        <v>Tablet</v>
      </c>
      <c r="E472" t="str">
        <f>VLOOKUP(A472, user_table!$A:$F, 6, FALSE)</f>
        <v>Social</v>
      </c>
      <c r="F472" s="1" t="str">
        <f>IF(ISNUMBER(MATCH(A472, search_page!$A:$A, 0)), "Yes", "No")</f>
        <v>Yes</v>
      </c>
    </row>
    <row r="473" spans="1:6">
      <c r="A473">
        <v>1472</v>
      </c>
      <c r="B473" s="2">
        <v>45299.112500000003</v>
      </c>
      <c r="C473" t="str">
        <f>VLOOKUP(A473, user_table!$A:$B, 2, FALSE)</f>
        <v>Female</v>
      </c>
      <c r="D473" t="str">
        <f>VLOOKUP(A473, user_table!$A:$F, 5, FALSE)</f>
        <v>Mobile</v>
      </c>
      <c r="E473" t="str">
        <f>VLOOKUP(A473, user_table!$A:$F, 6, FALSE)</f>
        <v>Social</v>
      </c>
      <c r="F473" s="1" t="str">
        <f>IF(ISNUMBER(MATCH(A473, search_page!$A:$A, 0)), "Yes", "No")</f>
        <v>Yes</v>
      </c>
    </row>
    <row r="474" spans="1:6">
      <c r="A474">
        <v>1473</v>
      </c>
      <c r="B474" s="2">
        <v>45373.515972222223</v>
      </c>
      <c r="C474" t="str">
        <f>VLOOKUP(A474, user_table!$A:$B, 2, FALSE)</f>
        <v>Male</v>
      </c>
      <c r="D474" t="str">
        <f>VLOOKUP(A474, user_table!$A:$F, 5, FALSE)</f>
        <v>Desktop</v>
      </c>
      <c r="E474" t="str">
        <f>VLOOKUP(A474, user_table!$A:$F, 6, FALSE)</f>
        <v>Social</v>
      </c>
      <c r="F474" s="1" t="str">
        <f>IF(ISNUMBER(MATCH(A474, search_page!$A:$A, 0)), "Yes", "No")</f>
        <v>No</v>
      </c>
    </row>
    <row r="475" spans="1:6">
      <c r="A475">
        <v>1474</v>
      </c>
      <c r="B475" s="2">
        <v>45357.988194444442</v>
      </c>
      <c r="C475" t="str">
        <f>VLOOKUP(A475, user_table!$A:$B, 2, FALSE)</f>
        <v>Female</v>
      </c>
      <c r="D475" t="str">
        <f>VLOOKUP(A475, user_table!$A:$F, 5, FALSE)</f>
        <v>Mobile</v>
      </c>
      <c r="E475" t="str">
        <f>VLOOKUP(A475, user_table!$A:$F, 6, FALSE)</f>
        <v>Organic</v>
      </c>
      <c r="F475" s="1" t="str">
        <f>IF(ISNUMBER(MATCH(A475, search_page!$A:$A, 0)), "Yes", "No")</f>
        <v>Yes</v>
      </c>
    </row>
    <row r="476" spans="1:6">
      <c r="A476">
        <v>1475</v>
      </c>
      <c r="B476" s="2">
        <v>45312.006249999999</v>
      </c>
      <c r="C476" t="str">
        <f>VLOOKUP(A476, user_table!$A:$B, 2, FALSE)</f>
        <v>Female</v>
      </c>
      <c r="D476" t="str">
        <f>VLOOKUP(A476, user_table!$A:$F, 5, FALSE)</f>
        <v>Mobile</v>
      </c>
      <c r="E476" t="str">
        <f>VLOOKUP(A476, user_table!$A:$F, 6, FALSE)</f>
        <v>Social</v>
      </c>
      <c r="F476" s="1" t="str">
        <f>IF(ISNUMBER(MATCH(A476, search_page!$A:$A, 0)), "Yes", "No")</f>
        <v>No</v>
      </c>
    </row>
    <row r="477" spans="1:6">
      <c r="A477">
        <v>1476</v>
      </c>
      <c r="B477" s="2">
        <v>45369.909722222219</v>
      </c>
      <c r="C477" t="str">
        <f>VLOOKUP(A477, user_table!$A:$B, 2, FALSE)</f>
        <v>Female</v>
      </c>
      <c r="D477" t="str">
        <f>VLOOKUP(A477, user_table!$A:$F, 5, FALSE)</f>
        <v>Mobile</v>
      </c>
      <c r="E477" t="str">
        <f>VLOOKUP(A477, user_table!$A:$F, 6, FALSE)</f>
        <v>Paid</v>
      </c>
      <c r="F477" s="1" t="str">
        <f>IF(ISNUMBER(MATCH(A477, search_page!$A:$A, 0)), "Yes", "No")</f>
        <v>No</v>
      </c>
    </row>
    <row r="478" spans="1:6">
      <c r="A478">
        <v>1477</v>
      </c>
      <c r="B478" s="2">
        <v>45348.047222222223</v>
      </c>
      <c r="C478" t="str">
        <f>VLOOKUP(A478, user_table!$A:$B, 2, FALSE)</f>
        <v>Male</v>
      </c>
      <c r="D478" t="str">
        <f>VLOOKUP(A478, user_table!$A:$F, 5, FALSE)</f>
        <v>Mobile</v>
      </c>
      <c r="E478" t="str">
        <f>VLOOKUP(A478, user_table!$A:$F, 6, FALSE)</f>
        <v>Social</v>
      </c>
      <c r="F478" s="1" t="str">
        <f>IF(ISNUMBER(MATCH(A478, search_page!$A:$A, 0)), "Yes", "No")</f>
        <v>No</v>
      </c>
    </row>
    <row r="479" spans="1:6">
      <c r="A479">
        <v>1478</v>
      </c>
      <c r="B479" s="2">
        <v>45300.325694444444</v>
      </c>
      <c r="C479" t="str">
        <f>VLOOKUP(A479, user_table!$A:$B, 2, FALSE)</f>
        <v>Female</v>
      </c>
      <c r="D479" t="str">
        <f>VLOOKUP(A479, user_table!$A:$F, 5, FALSE)</f>
        <v>Desktop</v>
      </c>
      <c r="E479" t="str">
        <f>VLOOKUP(A479, user_table!$A:$F, 6, FALSE)</f>
        <v>Social</v>
      </c>
      <c r="F479" s="1" t="str">
        <f>IF(ISNUMBER(MATCH(A479, search_page!$A:$A, 0)), "Yes", "No")</f>
        <v>No</v>
      </c>
    </row>
    <row r="480" spans="1:6">
      <c r="A480">
        <v>1479</v>
      </c>
      <c r="B480" s="2">
        <v>45374.474305555559</v>
      </c>
      <c r="C480" t="str">
        <f>VLOOKUP(A480, user_table!$A:$B, 2, FALSE)</f>
        <v>Female</v>
      </c>
      <c r="D480" t="str">
        <f>VLOOKUP(A480, user_table!$A:$F, 5, FALSE)</f>
        <v>Desktop</v>
      </c>
      <c r="E480" t="str">
        <f>VLOOKUP(A480, user_table!$A:$F, 6, FALSE)</f>
        <v>Paid</v>
      </c>
      <c r="F480" s="1" t="str">
        <f>IF(ISNUMBER(MATCH(A480, search_page!$A:$A, 0)), "Yes", "No")</f>
        <v>Yes</v>
      </c>
    </row>
    <row r="481" spans="1:6">
      <c r="A481">
        <v>1480</v>
      </c>
      <c r="B481" s="2">
        <v>45341.751388888886</v>
      </c>
      <c r="C481" t="str">
        <f>VLOOKUP(A481, user_table!$A:$B, 2, FALSE)</f>
        <v>Female</v>
      </c>
      <c r="D481" t="str">
        <f>VLOOKUP(A481, user_table!$A:$F, 5, FALSE)</f>
        <v>Tablet</v>
      </c>
      <c r="E481" t="str">
        <f>VLOOKUP(A481, user_table!$A:$F, 6, FALSE)</f>
        <v>Organic</v>
      </c>
      <c r="F481" s="1" t="str">
        <f>IF(ISNUMBER(MATCH(A481, search_page!$A:$A, 0)), "Yes", "No")</f>
        <v>Yes</v>
      </c>
    </row>
    <row r="482" spans="1:6">
      <c r="A482">
        <v>1481</v>
      </c>
      <c r="B482" s="2">
        <v>45369.196527777778</v>
      </c>
      <c r="C482" t="str">
        <f>VLOOKUP(A482, user_table!$A:$B, 2, FALSE)</f>
        <v>Female</v>
      </c>
      <c r="D482" t="str">
        <f>VLOOKUP(A482, user_table!$A:$F, 5, FALSE)</f>
        <v>Mobile</v>
      </c>
      <c r="E482" t="str">
        <f>VLOOKUP(A482, user_table!$A:$F, 6, FALSE)</f>
        <v>Organic</v>
      </c>
      <c r="F482" s="1" t="str">
        <f>IF(ISNUMBER(MATCH(A482, search_page!$A:$A, 0)), "Yes", "No")</f>
        <v>Yes</v>
      </c>
    </row>
    <row r="483" spans="1:6">
      <c r="A483">
        <v>1482</v>
      </c>
      <c r="B483" s="2">
        <v>45349.474305555559</v>
      </c>
      <c r="C483" t="str">
        <f>VLOOKUP(A483, user_table!$A:$B, 2, FALSE)</f>
        <v>Female</v>
      </c>
      <c r="D483" t="str">
        <f>VLOOKUP(A483, user_table!$A:$F, 5, FALSE)</f>
        <v>Mobile</v>
      </c>
      <c r="E483" t="str">
        <f>VLOOKUP(A483, user_table!$A:$F, 6, FALSE)</f>
        <v>Email</v>
      </c>
      <c r="F483" s="1" t="str">
        <f>IF(ISNUMBER(MATCH(A483, search_page!$A:$A, 0)), "Yes", "No")</f>
        <v>Yes</v>
      </c>
    </row>
    <row r="484" spans="1:6">
      <c r="A484">
        <v>1483</v>
      </c>
      <c r="B484" s="2">
        <v>45348.10833333333</v>
      </c>
      <c r="C484" t="str">
        <f>VLOOKUP(A484, user_table!$A:$B, 2, FALSE)</f>
        <v>Male</v>
      </c>
      <c r="D484" t="str">
        <f>VLOOKUP(A484, user_table!$A:$F, 5, FALSE)</f>
        <v>Desktop</v>
      </c>
      <c r="E484" t="str">
        <f>VLOOKUP(A484, user_table!$A:$F, 6, FALSE)</f>
        <v>Direct</v>
      </c>
      <c r="F484" s="1" t="str">
        <f>IF(ISNUMBER(MATCH(A484, search_page!$A:$A, 0)), "Yes", "No")</f>
        <v>No</v>
      </c>
    </row>
    <row r="485" spans="1:6">
      <c r="A485">
        <v>1484</v>
      </c>
      <c r="B485" s="2">
        <v>45309.682638888888</v>
      </c>
      <c r="C485" t="str">
        <f>VLOOKUP(A485, user_table!$A:$B, 2, FALSE)</f>
        <v>Female</v>
      </c>
      <c r="D485" t="str">
        <f>VLOOKUP(A485, user_table!$A:$F, 5, FALSE)</f>
        <v>Desktop</v>
      </c>
      <c r="E485" t="str">
        <f>VLOOKUP(A485, user_table!$A:$F, 6, FALSE)</f>
        <v>Social</v>
      </c>
      <c r="F485" s="1" t="str">
        <f>IF(ISNUMBER(MATCH(A485, search_page!$A:$A, 0)), "Yes", "No")</f>
        <v>No</v>
      </c>
    </row>
    <row r="486" spans="1:6">
      <c r="A486">
        <v>1485</v>
      </c>
      <c r="B486" s="2">
        <v>45342.445138888892</v>
      </c>
      <c r="C486" t="str">
        <f>VLOOKUP(A486, user_table!$A:$B, 2, FALSE)</f>
        <v>Female</v>
      </c>
      <c r="D486" t="str">
        <f>VLOOKUP(A486, user_table!$A:$F, 5, FALSE)</f>
        <v>Tablet</v>
      </c>
      <c r="E486" t="str">
        <f>VLOOKUP(A486, user_table!$A:$F, 6, FALSE)</f>
        <v>Organic</v>
      </c>
      <c r="F486" s="1" t="str">
        <f>IF(ISNUMBER(MATCH(A486, search_page!$A:$A, 0)), "Yes", "No")</f>
        <v>Yes</v>
      </c>
    </row>
    <row r="487" spans="1:6">
      <c r="A487">
        <v>1486</v>
      </c>
      <c r="B487" s="2">
        <v>45327.296527777777</v>
      </c>
      <c r="C487" t="str">
        <f>VLOOKUP(A487, user_table!$A:$B, 2, FALSE)</f>
        <v>Female</v>
      </c>
      <c r="D487" t="str">
        <f>VLOOKUP(A487, user_table!$A:$F, 5, FALSE)</f>
        <v>Mobile</v>
      </c>
      <c r="E487" t="str">
        <f>VLOOKUP(A487, user_table!$A:$F, 6, FALSE)</f>
        <v>Paid</v>
      </c>
      <c r="F487" s="1" t="str">
        <f>IF(ISNUMBER(MATCH(A487, search_page!$A:$A, 0)), "Yes", "No")</f>
        <v>No</v>
      </c>
    </row>
    <row r="488" spans="1:6">
      <c r="A488">
        <v>1487</v>
      </c>
      <c r="B488" s="2">
        <v>45295.96597222222</v>
      </c>
      <c r="C488" t="str">
        <f>VLOOKUP(A488, user_table!$A:$B, 2, FALSE)</f>
        <v>Male</v>
      </c>
      <c r="D488" t="str">
        <f>VLOOKUP(A488, user_table!$A:$F, 5, FALSE)</f>
        <v>Mobile</v>
      </c>
      <c r="E488" t="str">
        <f>VLOOKUP(A488, user_table!$A:$F, 6, FALSE)</f>
        <v>Social</v>
      </c>
      <c r="F488" s="1" t="str">
        <f>IF(ISNUMBER(MATCH(A488, search_page!$A:$A, 0)), "Yes", "No")</f>
        <v>Yes</v>
      </c>
    </row>
    <row r="489" spans="1:6">
      <c r="A489">
        <v>1488</v>
      </c>
      <c r="B489" s="2">
        <v>45355.683333333334</v>
      </c>
      <c r="C489" t="str">
        <f>VLOOKUP(A489, user_table!$A:$B, 2, FALSE)</f>
        <v>Male</v>
      </c>
      <c r="D489" t="str">
        <f>VLOOKUP(A489, user_table!$A:$F, 5, FALSE)</f>
        <v>Desktop</v>
      </c>
      <c r="E489" t="str">
        <f>VLOOKUP(A489, user_table!$A:$F, 6, FALSE)</f>
        <v>Email</v>
      </c>
      <c r="F489" s="1" t="str">
        <f>IF(ISNUMBER(MATCH(A489, search_page!$A:$A, 0)), "Yes", "No")</f>
        <v>No</v>
      </c>
    </row>
    <row r="490" spans="1:6">
      <c r="A490">
        <v>1489</v>
      </c>
      <c r="B490" s="2">
        <v>45363.136111111111</v>
      </c>
      <c r="C490" t="str">
        <f>VLOOKUP(A490, user_table!$A:$B, 2, FALSE)</f>
        <v>Female</v>
      </c>
      <c r="D490" t="str">
        <f>VLOOKUP(A490, user_table!$A:$F, 5, FALSE)</f>
        <v>Mobile</v>
      </c>
      <c r="E490" t="str">
        <f>VLOOKUP(A490, user_table!$A:$F, 6, FALSE)</f>
        <v>Organic</v>
      </c>
      <c r="F490" s="1" t="str">
        <f>IF(ISNUMBER(MATCH(A490, search_page!$A:$A, 0)), "Yes", "No")</f>
        <v>Yes</v>
      </c>
    </row>
    <row r="491" spans="1:6">
      <c r="A491">
        <v>1490</v>
      </c>
      <c r="B491" s="2">
        <v>45325.936111111114</v>
      </c>
      <c r="C491" t="str">
        <f>VLOOKUP(A491, user_table!$A:$B, 2, FALSE)</f>
        <v>Female</v>
      </c>
      <c r="D491" t="str">
        <f>VLOOKUP(A491, user_table!$A:$F, 5, FALSE)</f>
        <v>Desktop</v>
      </c>
      <c r="E491" t="str">
        <f>VLOOKUP(A491, user_table!$A:$F, 6, FALSE)</f>
        <v>Organic</v>
      </c>
      <c r="F491" s="1" t="str">
        <f>IF(ISNUMBER(MATCH(A491, search_page!$A:$A, 0)), "Yes", "No")</f>
        <v>No</v>
      </c>
    </row>
    <row r="492" spans="1:6">
      <c r="A492">
        <v>1491</v>
      </c>
      <c r="B492" s="2">
        <v>45319.804166666669</v>
      </c>
      <c r="C492" t="str">
        <f>VLOOKUP(A492, user_table!$A:$B, 2, FALSE)</f>
        <v>Male</v>
      </c>
      <c r="D492" t="str">
        <f>VLOOKUP(A492, user_table!$A:$F, 5, FALSE)</f>
        <v>Mobile</v>
      </c>
      <c r="E492" t="str">
        <f>VLOOKUP(A492, user_table!$A:$F, 6, FALSE)</f>
        <v>Social</v>
      </c>
      <c r="F492" s="1" t="str">
        <f>IF(ISNUMBER(MATCH(A492, search_page!$A:$A, 0)), "Yes", "No")</f>
        <v>No</v>
      </c>
    </row>
    <row r="493" spans="1:6">
      <c r="A493">
        <v>1492</v>
      </c>
      <c r="B493" s="2">
        <v>45380.633333333331</v>
      </c>
      <c r="C493" t="str">
        <f>VLOOKUP(A493, user_table!$A:$B, 2, FALSE)</f>
        <v>Female</v>
      </c>
      <c r="D493" t="str">
        <f>VLOOKUP(A493, user_table!$A:$F, 5, FALSE)</f>
        <v>Desktop</v>
      </c>
      <c r="E493" t="str">
        <f>VLOOKUP(A493, user_table!$A:$F, 6, FALSE)</f>
        <v>Paid</v>
      </c>
      <c r="F493" s="1" t="str">
        <f>IF(ISNUMBER(MATCH(A493, search_page!$A:$A, 0)), "Yes", "No")</f>
        <v>No</v>
      </c>
    </row>
    <row r="494" spans="1:6">
      <c r="A494">
        <v>1493</v>
      </c>
      <c r="B494" s="2">
        <v>45307.20416666667</v>
      </c>
      <c r="C494" t="str">
        <f>VLOOKUP(A494, user_table!$A:$B, 2, FALSE)</f>
        <v>Male</v>
      </c>
      <c r="D494" t="str">
        <f>VLOOKUP(A494, user_table!$A:$F, 5, FALSE)</f>
        <v>Desktop</v>
      </c>
      <c r="E494" t="str">
        <f>VLOOKUP(A494, user_table!$A:$F, 6, FALSE)</f>
        <v>Organic</v>
      </c>
      <c r="F494" s="1" t="str">
        <f>IF(ISNUMBER(MATCH(A494, search_page!$A:$A, 0)), "Yes", "No")</f>
        <v>Yes</v>
      </c>
    </row>
    <row r="495" spans="1:6">
      <c r="A495">
        <v>1494</v>
      </c>
      <c r="B495" s="2">
        <v>45301.59097222222</v>
      </c>
      <c r="C495" t="str">
        <f>VLOOKUP(A495, user_table!$A:$B, 2, FALSE)</f>
        <v>Male</v>
      </c>
      <c r="D495" t="str">
        <f>VLOOKUP(A495, user_table!$A:$F, 5, FALSE)</f>
        <v>Mobile</v>
      </c>
      <c r="E495" t="str">
        <f>VLOOKUP(A495, user_table!$A:$F, 6, FALSE)</f>
        <v>Organic</v>
      </c>
      <c r="F495" s="1" t="str">
        <f>IF(ISNUMBER(MATCH(A495, search_page!$A:$A, 0)), "Yes", "No")</f>
        <v>No</v>
      </c>
    </row>
    <row r="496" spans="1:6">
      <c r="A496">
        <v>1495</v>
      </c>
      <c r="B496" s="2">
        <v>45348.118750000001</v>
      </c>
      <c r="C496" t="str">
        <f>VLOOKUP(A496, user_table!$A:$B, 2, FALSE)</f>
        <v>Male</v>
      </c>
      <c r="D496" t="str">
        <f>VLOOKUP(A496, user_table!$A:$F, 5, FALSE)</f>
        <v>Tablet</v>
      </c>
      <c r="E496" t="str">
        <f>VLOOKUP(A496, user_table!$A:$F, 6, FALSE)</f>
        <v>Paid</v>
      </c>
      <c r="F496" s="1" t="str">
        <f>IF(ISNUMBER(MATCH(A496, search_page!$A:$A, 0)), "Yes", "No")</f>
        <v>No</v>
      </c>
    </row>
    <row r="497" spans="1:6">
      <c r="A497">
        <v>1496</v>
      </c>
      <c r="B497" s="2">
        <v>45379.445833333331</v>
      </c>
      <c r="C497" t="str">
        <f>VLOOKUP(A497, user_table!$A:$B, 2, FALSE)</f>
        <v>Male</v>
      </c>
      <c r="D497" t="str">
        <f>VLOOKUP(A497, user_table!$A:$F, 5, FALSE)</f>
        <v>Desktop</v>
      </c>
      <c r="E497" t="str">
        <f>VLOOKUP(A497, user_table!$A:$F, 6, FALSE)</f>
        <v>Email</v>
      </c>
      <c r="F497" s="1" t="str">
        <f>IF(ISNUMBER(MATCH(A497, search_page!$A:$A, 0)), "Yes", "No")</f>
        <v>Yes</v>
      </c>
    </row>
    <row r="498" spans="1:6">
      <c r="A498">
        <v>1497</v>
      </c>
      <c r="B498" s="2">
        <v>45336.919444444444</v>
      </c>
      <c r="C498" t="str">
        <f>VLOOKUP(A498, user_table!$A:$B, 2, FALSE)</f>
        <v>Female</v>
      </c>
      <c r="D498" t="str">
        <f>VLOOKUP(A498, user_table!$A:$F, 5, FALSE)</f>
        <v>Mobile</v>
      </c>
      <c r="E498" t="str">
        <f>VLOOKUP(A498, user_table!$A:$F, 6, FALSE)</f>
        <v>Direct</v>
      </c>
      <c r="F498" s="1" t="str">
        <f>IF(ISNUMBER(MATCH(A498, search_page!$A:$A, 0)), "Yes", "No")</f>
        <v>No</v>
      </c>
    </row>
    <row r="499" spans="1:6">
      <c r="A499">
        <v>1498</v>
      </c>
      <c r="B499" s="2">
        <v>45362.720833333333</v>
      </c>
      <c r="C499" t="str">
        <f>VLOOKUP(A499, user_table!$A:$B, 2, FALSE)</f>
        <v>Male</v>
      </c>
      <c r="D499" t="str">
        <f>VLOOKUP(A499, user_table!$A:$F, 5, FALSE)</f>
        <v>Desktop</v>
      </c>
      <c r="E499" t="str">
        <f>VLOOKUP(A499, user_table!$A:$F, 6, FALSE)</f>
        <v>Social</v>
      </c>
      <c r="F499" s="1" t="str">
        <f>IF(ISNUMBER(MATCH(A499, search_page!$A:$A, 0)), "Yes", "No")</f>
        <v>Yes</v>
      </c>
    </row>
    <row r="500" spans="1:6">
      <c r="A500">
        <v>1499</v>
      </c>
      <c r="B500" s="2">
        <v>45330.239583333336</v>
      </c>
      <c r="C500" t="str">
        <f>VLOOKUP(A500, user_table!$A:$B, 2, FALSE)</f>
        <v>Female</v>
      </c>
      <c r="D500" t="str">
        <f>VLOOKUP(A500, user_table!$A:$F, 5, FALSE)</f>
        <v>Desktop</v>
      </c>
      <c r="E500" t="str">
        <f>VLOOKUP(A500, user_table!$A:$F, 6, FALSE)</f>
        <v>Paid</v>
      </c>
      <c r="F500" s="1" t="str">
        <f>IF(ISNUMBER(MATCH(A500, search_page!$A:$A, 0)), "Yes", "No")</f>
        <v>Yes</v>
      </c>
    </row>
    <row r="501" spans="1:6">
      <c r="A501">
        <v>1500</v>
      </c>
      <c r="B501" s="2">
        <v>45381.84097222222</v>
      </c>
      <c r="C501" t="str">
        <f>VLOOKUP(A501, user_table!$A:$B, 2, FALSE)</f>
        <v>Female</v>
      </c>
      <c r="D501" t="str">
        <f>VLOOKUP(A501, user_table!$A:$F, 5, FALSE)</f>
        <v>Desktop</v>
      </c>
      <c r="E501" t="str">
        <f>VLOOKUP(A501, user_table!$A:$F, 6, FALSE)</f>
        <v>Organic</v>
      </c>
      <c r="F501" s="1" t="str">
        <f>IF(ISNUMBER(MATCH(A501, search_page!$A:$A, 0)), "Yes", "No")</f>
        <v>No</v>
      </c>
    </row>
    <row r="502" spans="1:6">
      <c r="A502">
        <v>1501</v>
      </c>
      <c r="B502" s="2">
        <v>45338.676388888889</v>
      </c>
      <c r="C502" t="str">
        <f>VLOOKUP(A502, user_table!$A:$B, 2, FALSE)</f>
        <v>Female</v>
      </c>
      <c r="D502" t="str">
        <f>VLOOKUP(A502, user_table!$A:$F, 5, FALSE)</f>
        <v>Desktop</v>
      </c>
      <c r="E502" t="str">
        <f>VLOOKUP(A502, user_table!$A:$F, 6, FALSE)</f>
        <v>Paid</v>
      </c>
      <c r="F502" s="1" t="str">
        <f>IF(ISNUMBER(MATCH(A502, search_page!$A:$A, 0)), "Yes", "No")</f>
        <v>Yes</v>
      </c>
    </row>
    <row r="503" spans="1:6">
      <c r="A503">
        <v>1502</v>
      </c>
      <c r="B503" s="2">
        <v>45307.284722222219</v>
      </c>
      <c r="C503" t="str">
        <f>VLOOKUP(A503, user_table!$A:$B, 2, FALSE)</f>
        <v>Female</v>
      </c>
      <c r="D503" t="str">
        <f>VLOOKUP(A503, user_table!$A:$F, 5, FALSE)</f>
        <v>Mobile</v>
      </c>
      <c r="E503" t="str">
        <f>VLOOKUP(A503, user_table!$A:$F, 6, FALSE)</f>
        <v>Paid</v>
      </c>
      <c r="F503" s="1" t="str">
        <f>IF(ISNUMBER(MATCH(A503, search_page!$A:$A, 0)), "Yes", "No")</f>
        <v>No</v>
      </c>
    </row>
    <row r="504" spans="1:6">
      <c r="A504">
        <v>1503</v>
      </c>
      <c r="B504" s="2">
        <v>45309.326388888891</v>
      </c>
      <c r="C504" t="str">
        <f>VLOOKUP(A504, user_table!$A:$B, 2, FALSE)</f>
        <v>Male</v>
      </c>
      <c r="D504" t="str">
        <f>VLOOKUP(A504, user_table!$A:$F, 5, FALSE)</f>
        <v>Desktop</v>
      </c>
      <c r="E504" t="str">
        <f>VLOOKUP(A504, user_table!$A:$F, 6, FALSE)</f>
        <v>Social</v>
      </c>
      <c r="F504" s="1" t="str">
        <f>IF(ISNUMBER(MATCH(A504, search_page!$A:$A, 0)), "Yes", "No")</f>
        <v>Yes</v>
      </c>
    </row>
    <row r="505" spans="1:6">
      <c r="A505">
        <v>1504</v>
      </c>
      <c r="B505" s="2">
        <v>45355.015972222223</v>
      </c>
      <c r="C505" t="str">
        <f>VLOOKUP(A505, user_table!$A:$B, 2, FALSE)</f>
        <v>Female</v>
      </c>
      <c r="D505" t="str">
        <f>VLOOKUP(A505, user_table!$A:$F, 5, FALSE)</f>
        <v>Desktop</v>
      </c>
      <c r="E505" t="str">
        <f>VLOOKUP(A505, user_table!$A:$F, 6, FALSE)</f>
        <v>Paid</v>
      </c>
      <c r="F505" s="1" t="str">
        <f>IF(ISNUMBER(MATCH(A505, search_page!$A:$A, 0)), "Yes", "No")</f>
        <v>No</v>
      </c>
    </row>
    <row r="506" spans="1:6">
      <c r="A506">
        <v>1505</v>
      </c>
      <c r="B506" s="2">
        <v>45362.765972222223</v>
      </c>
      <c r="C506" t="str">
        <f>VLOOKUP(A506, user_table!$A:$B, 2, FALSE)</f>
        <v>Female</v>
      </c>
      <c r="D506" t="str">
        <f>VLOOKUP(A506, user_table!$A:$F, 5, FALSE)</f>
        <v>Tablet</v>
      </c>
      <c r="E506" t="str">
        <f>VLOOKUP(A506, user_table!$A:$F, 6, FALSE)</f>
        <v>Organic</v>
      </c>
      <c r="F506" s="1" t="str">
        <f>IF(ISNUMBER(MATCH(A506, search_page!$A:$A, 0)), "Yes", "No")</f>
        <v>No</v>
      </c>
    </row>
    <row r="507" spans="1:6">
      <c r="A507">
        <v>1506</v>
      </c>
      <c r="B507" s="2">
        <v>45351.713888888888</v>
      </c>
      <c r="C507" t="str">
        <f>VLOOKUP(A507, user_table!$A:$B, 2, FALSE)</f>
        <v>Male</v>
      </c>
      <c r="D507" t="str">
        <f>VLOOKUP(A507, user_table!$A:$F, 5, FALSE)</f>
        <v>Desktop</v>
      </c>
      <c r="E507" t="str">
        <f>VLOOKUP(A507, user_table!$A:$F, 6, FALSE)</f>
        <v>Organic</v>
      </c>
      <c r="F507" s="1" t="str">
        <f>IF(ISNUMBER(MATCH(A507, search_page!$A:$A, 0)), "Yes", "No")</f>
        <v>Yes</v>
      </c>
    </row>
    <row r="508" spans="1:6">
      <c r="A508">
        <v>1507</v>
      </c>
      <c r="B508" s="2">
        <v>45370.086111111108</v>
      </c>
      <c r="C508" t="str">
        <f>VLOOKUP(A508, user_table!$A:$B, 2, FALSE)</f>
        <v>Female</v>
      </c>
      <c r="D508" t="str">
        <f>VLOOKUP(A508, user_table!$A:$F, 5, FALSE)</f>
        <v>Mobile</v>
      </c>
      <c r="E508" t="str">
        <f>VLOOKUP(A508, user_table!$A:$F, 6, FALSE)</f>
        <v>Paid</v>
      </c>
      <c r="F508" s="1" t="str">
        <f>IF(ISNUMBER(MATCH(A508, search_page!$A:$A, 0)), "Yes", "No")</f>
        <v>No</v>
      </c>
    </row>
    <row r="509" spans="1:6">
      <c r="A509">
        <v>1508</v>
      </c>
      <c r="B509" s="2">
        <v>45331.53125</v>
      </c>
      <c r="C509" t="str">
        <f>VLOOKUP(A509, user_table!$A:$B, 2, FALSE)</f>
        <v>Female</v>
      </c>
      <c r="D509" t="str">
        <f>VLOOKUP(A509, user_table!$A:$F, 5, FALSE)</f>
        <v>Desktop</v>
      </c>
      <c r="E509" t="str">
        <f>VLOOKUP(A509, user_table!$A:$F, 6, FALSE)</f>
        <v>Organic</v>
      </c>
      <c r="F509" s="1" t="str">
        <f>IF(ISNUMBER(MATCH(A509, search_page!$A:$A, 0)), "Yes", "No")</f>
        <v>No</v>
      </c>
    </row>
    <row r="510" spans="1:6">
      <c r="A510">
        <v>1509</v>
      </c>
      <c r="B510" s="2">
        <v>45353.68472222222</v>
      </c>
      <c r="C510" t="str">
        <f>VLOOKUP(A510, user_table!$A:$B, 2, FALSE)</f>
        <v>Female</v>
      </c>
      <c r="D510" t="str">
        <f>VLOOKUP(A510, user_table!$A:$F, 5, FALSE)</f>
        <v>Mobile</v>
      </c>
      <c r="E510" t="str">
        <f>VLOOKUP(A510, user_table!$A:$F, 6, FALSE)</f>
        <v>Organic</v>
      </c>
      <c r="F510" s="1" t="str">
        <f>IF(ISNUMBER(MATCH(A510, search_page!$A:$A, 0)), "Yes", "No")</f>
        <v>No</v>
      </c>
    </row>
    <row r="511" spans="1:6">
      <c r="A511">
        <v>1510</v>
      </c>
      <c r="B511" s="2">
        <v>45344.75277777778</v>
      </c>
      <c r="C511" t="str">
        <f>VLOOKUP(A511, user_table!$A:$B, 2, FALSE)</f>
        <v>Female</v>
      </c>
      <c r="D511" t="str">
        <f>VLOOKUP(A511, user_table!$A:$F, 5, FALSE)</f>
        <v>Desktop</v>
      </c>
      <c r="E511" t="str">
        <f>VLOOKUP(A511, user_table!$A:$F, 6, FALSE)</f>
        <v>Direct</v>
      </c>
      <c r="F511" s="1" t="str">
        <f>IF(ISNUMBER(MATCH(A511, search_page!$A:$A, 0)), "Yes", "No")</f>
        <v>No</v>
      </c>
    </row>
    <row r="512" spans="1:6">
      <c r="A512">
        <v>1511</v>
      </c>
      <c r="B512" s="2">
        <v>45308.445138888892</v>
      </c>
      <c r="C512" t="str">
        <f>VLOOKUP(A512, user_table!$A:$B, 2, FALSE)</f>
        <v>Female</v>
      </c>
      <c r="D512" t="str">
        <f>VLOOKUP(A512, user_table!$A:$F, 5, FALSE)</f>
        <v>Desktop</v>
      </c>
      <c r="E512" t="str">
        <f>VLOOKUP(A512, user_table!$A:$F, 6, FALSE)</f>
        <v>Paid</v>
      </c>
      <c r="F512" s="1" t="str">
        <f>IF(ISNUMBER(MATCH(A512, search_page!$A:$A, 0)), "Yes", "No")</f>
        <v>No</v>
      </c>
    </row>
    <row r="513" spans="1:6">
      <c r="A513">
        <v>1512</v>
      </c>
      <c r="B513" s="2">
        <v>45301.603472222225</v>
      </c>
      <c r="C513" t="str">
        <f>VLOOKUP(A513, user_table!$A:$B, 2, FALSE)</f>
        <v>Male</v>
      </c>
      <c r="D513" t="str">
        <f>VLOOKUP(A513, user_table!$A:$F, 5, FALSE)</f>
        <v>Desktop</v>
      </c>
      <c r="E513" t="str">
        <f>VLOOKUP(A513, user_table!$A:$F, 6, FALSE)</f>
        <v>Paid</v>
      </c>
      <c r="F513" s="1" t="str">
        <f>IF(ISNUMBER(MATCH(A513, search_page!$A:$A, 0)), "Yes", "No")</f>
        <v>Yes</v>
      </c>
    </row>
    <row r="514" spans="1:6">
      <c r="A514">
        <v>1513</v>
      </c>
      <c r="B514" s="2">
        <v>45379.681944444441</v>
      </c>
      <c r="C514" t="str">
        <f>VLOOKUP(A514, user_table!$A:$B, 2, FALSE)</f>
        <v>Female</v>
      </c>
      <c r="D514" t="str">
        <f>VLOOKUP(A514, user_table!$A:$F, 5, FALSE)</f>
        <v>Desktop</v>
      </c>
      <c r="E514" t="str">
        <f>VLOOKUP(A514, user_table!$A:$F, 6, FALSE)</f>
        <v>Email</v>
      </c>
      <c r="F514" s="1" t="str">
        <f>IF(ISNUMBER(MATCH(A514, search_page!$A:$A, 0)), "Yes", "No")</f>
        <v>Yes</v>
      </c>
    </row>
    <row r="515" spans="1:6">
      <c r="A515">
        <v>1514</v>
      </c>
      <c r="B515" s="2">
        <v>45308.736111111109</v>
      </c>
      <c r="C515" t="str">
        <f>VLOOKUP(A515, user_table!$A:$B, 2, FALSE)</f>
        <v>Female</v>
      </c>
      <c r="D515" t="str">
        <f>VLOOKUP(A515, user_table!$A:$F, 5, FALSE)</f>
        <v>Desktop</v>
      </c>
      <c r="E515" t="str">
        <f>VLOOKUP(A515, user_table!$A:$F, 6, FALSE)</f>
        <v>Direct</v>
      </c>
      <c r="F515" s="1" t="str">
        <f>IF(ISNUMBER(MATCH(A515, search_page!$A:$A, 0)), "Yes", "No")</f>
        <v>No</v>
      </c>
    </row>
    <row r="516" spans="1:6">
      <c r="A516">
        <v>1515</v>
      </c>
      <c r="B516" s="2">
        <v>45367.242361111108</v>
      </c>
      <c r="C516" t="str">
        <f>VLOOKUP(A516, user_table!$A:$B, 2, FALSE)</f>
        <v>Male</v>
      </c>
      <c r="D516" t="str">
        <f>VLOOKUP(A516, user_table!$A:$F, 5, FALSE)</f>
        <v>Mobile</v>
      </c>
      <c r="E516" t="str">
        <f>VLOOKUP(A516, user_table!$A:$F, 6, FALSE)</f>
        <v>Social</v>
      </c>
      <c r="F516" s="1" t="str">
        <f>IF(ISNUMBER(MATCH(A516, search_page!$A:$A, 0)), "Yes", "No")</f>
        <v>Yes</v>
      </c>
    </row>
    <row r="517" spans="1:6">
      <c r="A517">
        <v>1516</v>
      </c>
      <c r="B517" s="2">
        <v>45308.563888888886</v>
      </c>
      <c r="C517" t="str">
        <f>VLOOKUP(A517, user_table!$A:$B, 2, FALSE)</f>
        <v>Male</v>
      </c>
      <c r="D517" t="str">
        <f>VLOOKUP(A517, user_table!$A:$F, 5, FALSE)</f>
        <v>Tablet</v>
      </c>
      <c r="E517" t="str">
        <f>VLOOKUP(A517, user_table!$A:$F, 6, FALSE)</f>
        <v>Email</v>
      </c>
      <c r="F517" s="1" t="str">
        <f>IF(ISNUMBER(MATCH(A517, search_page!$A:$A, 0)), "Yes", "No")</f>
        <v>No</v>
      </c>
    </row>
    <row r="518" spans="1:6">
      <c r="A518">
        <v>1517</v>
      </c>
      <c r="B518" s="2">
        <v>45299.147916666669</v>
      </c>
      <c r="C518" t="str">
        <f>VLOOKUP(A518, user_table!$A:$B, 2, FALSE)</f>
        <v>Male</v>
      </c>
      <c r="D518" t="str">
        <f>VLOOKUP(A518, user_table!$A:$F, 5, FALSE)</f>
        <v>Mobile</v>
      </c>
      <c r="E518" t="str">
        <f>VLOOKUP(A518, user_table!$A:$F, 6, FALSE)</f>
        <v>Paid</v>
      </c>
      <c r="F518" s="1" t="str">
        <f>IF(ISNUMBER(MATCH(A518, search_page!$A:$A, 0)), "Yes", "No")</f>
        <v>No</v>
      </c>
    </row>
    <row r="519" spans="1:6">
      <c r="A519">
        <v>1518</v>
      </c>
      <c r="B519" s="2">
        <v>45311.381944444445</v>
      </c>
      <c r="C519" t="str">
        <f>VLOOKUP(A519, user_table!$A:$B, 2, FALSE)</f>
        <v>Female</v>
      </c>
      <c r="D519" t="str">
        <f>VLOOKUP(A519, user_table!$A:$F, 5, FALSE)</f>
        <v>Mobile</v>
      </c>
      <c r="E519" t="str">
        <f>VLOOKUP(A519, user_table!$A:$F, 6, FALSE)</f>
        <v>Paid</v>
      </c>
      <c r="F519" s="1" t="str">
        <f>IF(ISNUMBER(MATCH(A519, search_page!$A:$A, 0)), "Yes", "No")</f>
        <v>Yes</v>
      </c>
    </row>
    <row r="520" spans="1:6">
      <c r="A520">
        <v>1519</v>
      </c>
      <c r="B520" s="2">
        <v>45312.457638888889</v>
      </c>
      <c r="C520" t="str">
        <f>VLOOKUP(A520, user_table!$A:$B, 2, FALSE)</f>
        <v>Female</v>
      </c>
      <c r="D520" t="str">
        <f>VLOOKUP(A520, user_table!$A:$F, 5, FALSE)</f>
        <v>Desktop</v>
      </c>
      <c r="E520" t="str">
        <f>VLOOKUP(A520, user_table!$A:$F, 6, FALSE)</f>
        <v>Paid</v>
      </c>
      <c r="F520" s="1" t="str">
        <f>IF(ISNUMBER(MATCH(A520, search_page!$A:$A, 0)), "Yes", "No")</f>
        <v>Yes</v>
      </c>
    </row>
    <row r="521" spans="1:6">
      <c r="A521">
        <v>1520</v>
      </c>
      <c r="B521" s="2">
        <v>45320.481249999997</v>
      </c>
      <c r="C521" t="str">
        <f>VLOOKUP(A521, user_table!$A:$B, 2, FALSE)</f>
        <v>Male</v>
      </c>
      <c r="D521" t="str">
        <f>VLOOKUP(A521, user_table!$A:$F, 5, FALSE)</f>
        <v>Desktop</v>
      </c>
      <c r="E521" t="str">
        <f>VLOOKUP(A521, user_table!$A:$F, 6, FALSE)</f>
        <v>Social</v>
      </c>
      <c r="F521" s="1" t="str">
        <f>IF(ISNUMBER(MATCH(A521, search_page!$A:$A, 0)), "Yes", "No")</f>
        <v>Yes</v>
      </c>
    </row>
    <row r="522" spans="1:6">
      <c r="A522">
        <v>1521</v>
      </c>
      <c r="B522" s="2">
        <v>45328.094444444447</v>
      </c>
      <c r="C522" t="str">
        <f>VLOOKUP(A522, user_table!$A:$B, 2, FALSE)</f>
        <v>Female</v>
      </c>
      <c r="D522" t="str">
        <f>VLOOKUP(A522, user_table!$A:$F, 5, FALSE)</f>
        <v>Desktop</v>
      </c>
      <c r="E522" t="str">
        <f>VLOOKUP(A522, user_table!$A:$F, 6, FALSE)</f>
        <v>Social</v>
      </c>
      <c r="F522" s="1" t="str">
        <f>IF(ISNUMBER(MATCH(A522, search_page!$A:$A, 0)), "Yes", "No")</f>
        <v>Yes</v>
      </c>
    </row>
    <row r="523" spans="1:6">
      <c r="A523">
        <v>1522</v>
      </c>
      <c r="B523" s="2">
        <v>45317.857638888891</v>
      </c>
      <c r="C523" t="str">
        <f>VLOOKUP(A523, user_table!$A:$B, 2, FALSE)</f>
        <v>Male</v>
      </c>
      <c r="D523" t="str">
        <f>VLOOKUP(A523, user_table!$A:$F, 5, FALSE)</f>
        <v>Desktop</v>
      </c>
      <c r="E523" t="str">
        <f>VLOOKUP(A523, user_table!$A:$F, 6, FALSE)</f>
        <v>Paid</v>
      </c>
      <c r="F523" s="1" t="str">
        <f>IF(ISNUMBER(MATCH(A523, search_page!$A:$A, 0)), "Yes", "No")</f>
        <v>Yes</v>
      </c>
    </row>
    <row r="524" spans="1:6">
      <c r="A524">
        <v>1523</v>
      </c>
      <c r="B524" s="2">
        <v>45327.194444444445</v>
      </c>
      <c r="C524" t="str">
        <f>VLOOKUP(A524, user_table!$A:$B, 2, FALSE)</f>
        <v>Female</v>
      </c>
      <c r="D524" t="str">
        <f>VLOOKUP(A524, user_table!$A:$F, 5, FALSE)</f>
        <v>Mobile</v>
      </c>
      <c r="E524" t="str">
        <f>VLOOKUP(A524, user_table!$A:$F, 6, FALSE)</f>
        <v>Organic</v>
      </c>
      <c r="F524" s="1" t="str">
        <f>IF(ISNUMBER(MATCH(A524, search_page!$A:$A, 0)), "Yes", "No")</f>
        <v>No</v>
      </c>
    </row>
    <row r="525" spans="1:6">
      <c r="A525">
        <v>1524</v>
      </c>
      <c r="B525" s="2">
        <v>45330.81527777778</v>
      </c>
      <c r="C525" t="str">
        <f>VLOOKUP(A525, user_table!$A:$B, 2, FALSE)</f>
        <v>Female</v>
      </c>
      <c r="D525" t="str">
        <f>VLOOKUP(A525, user_table!$A:$F, 5, FALSE)</f>
        <v>Mobile</v>
      </c>
      <c r="E525" t="str">
        <f>VLOOKUP(A525, user_table!$A:$F, 6, FALSE)</f>
        <v>Social</v>
      </c>
      <c r="F525" s="1" t="str">
        <f>IF(ISNUMBER(MATCH(A525, search_page!$A:$A, 0)), "Yes", "No")</f>
        <v>No</v>
      </c>
    </row>
    <row r="526" spans="1:6">
      <c r="A526">
        <v>1525</v>
      </c>
      <c r="B526" s="2">
        <v>45303.695138888892</v>
      </c>
      <c r="C526" t="str">
        <f>VLOOKUP(A526, user_table!$A:$B, 2, FALSE)</f>
        <v>Female</v>
      </c>
      <c r="D526" t="str">
        <f>VLOOKUP(A526, user_table!$A:$F, 5, FALSE)</f>
        <v>Desktop</v>
      </c>
      <c r="E526" t="str">
        <f>VLOOKUP(A526, user_table!$A:$F, 6, FALSE)</f>
        <v>Organic</v>
      </c>
      <c r="F526" s="1" t="str">
        <f>IF(ISNUMBER(MATCH(A526, search_page!$A:$A, 0)), "Yes", "No")</f>
        <v>No</v>
      </c>
    </row>
    <row r="527" spans="1:6">
      <c r="A527">
        <v>1526</v>
      </c>
      <c r="B527" s="2">
        <v>45313.775694444441</v>
      </c>
      <c r="C527" t="str">
        <f>VLOOKUP(A527, user_table!$A:$B, 2, FALSE)</f>
        <v>Male</v>
      </c>
      <c r="D527" t="str">
        <f>VLOOKUP(A527, user_table!$A:$F, 5, FALSE)</f>
        <v>Desktop</v>
      </c>
      <c r="E527" t="str">
        <f>VLOOKUP(A527, user_table!$A:$F, 6, FALSE)</f>
        <v>Social</v>
      </c>
      <c r="F527" s="1" t="str">
        <f>IF(ISNUMBER(MATCH(A527, search_page!$A:$A, 0)), "Yes", "No")</f>
        <v>No</v>
      </c>
    </row>
    <row r="528" spans="1:6">
      <c r="A528">
        <v>1527</v>
      </c>
      <c r="B528" s="2">
        <v>45311.237500000003</v>
      </c>
      <c r="C528" t="str">
        <f>VLOOKUP(A528, user_table!$A:$B, 2, FALSE)</f>
        <v>Male</v>
      </c>
      <c r="D528" t="str">
        <f>VLOOKUP(A528, user_table!$A:$F, 5, FALSE)</f>
        <v>Mobile</v>
      </c>
      <c r="E528" t="str">
        <f>VLOOKUP(A528, user_table!$A:$F, 6, FALSE)</f>
        <v>Social</v>
      </c>
      <c r="F528" s="1" t="str">
        <f>IF(ISNUMBER(MATCH(A528, search_page!$A:$A, 0)), "Yes", "No")</f>
        <v>Yes</v>
      </c>
    </row>
    <row r="529" spans="1:6">
      <c r="A529">
        <v>1528</v>
      </c>
      <c r="B529" s="2">
        <v>45371.997916666667</v>
      </c>
      <c r="C529" t="str">
        <f>VLOOKUP(A529, user_table!$A:$B, 2, FALSE)</f>
        <v>Male</v>
      </c>
      <c r="D529" t="str">
        <f>VLOOKUP(A529, user_table!$A:$F, 5, FALSE)</f>
        <v>Mobile</v>
      </c>
      <c r="E529" t="str">
        <f>VLOOKUP(A529, user_table!$A:$F, 6, FALSE)</f>
        <v>Social</v>
      </c>
      <c r="F529" s="1" t="str">
        <f>IF(ISNUMBER(MATCH(A529, search_page!$A:$A, 0)), "Yes", "No")</f>
        <v>No</v>
      </c>
    </row>
    <row r="530" spans="1:6">
      <c r="A530">
        <v>1529</v>
      </c>
      <c r="B530" s="2">
        <v>45369.453472222223</v>
      </c>
      <c r="C530" t="str">
        <f>VLOOKUP(A530, user_table!$A:$B, 2, FALSE)</f>
        <v>Male</v>
      </c>
      <c r="D530" t="str">
        <f>VLOOKUP(A530, user_table!$A:$F, 5, FALSE)</f>
        <v>Desktop</v>
      </c>
      <c r="E530" t="str">
        <f>VLOOKUP(A530, user_table!$A:$F, 6, FALSE)</f>
        <v>Email</v>
      </c>
      <c r="F530" s="1" t="str">
        <f>IF(ISNUMBER(MATCH(A530, search_page!$A:$A, 0)), "Yes", "No")</f>
        <v>No</v>
      </c>
    </row>
    <row r="531" spans="1:6">
      <c r="A531">
        <v>1530</v>
      </c>
      <c r="B531" s="2">
        <v>45364.077777777777</v>
      </c>
      <c r="C531" t="str">
        <f>VLOOKUP(A531, user_table!$A:$B, 2, FALSE)</f>
        <v>Female</v>
      </c>
      <c r="D531" t="str">
        <f>VLOOKUP(A531, user_table!$A:$F, 5, FALSE)</f>
        <v>Tablet</v>
      </c>
      <c r="E531" t="str">
        <f>VLOOKUP(A531, user_table!$A:$F, 6, FALSE)</f>
        <v>Email</v>
      </c>
      <c r="F531" s="1" t="str">
        <f>IF(ISNUMBER(MATCH(A531, search_page!$A:$A, 0)), "Yes", "No")</f>
        <v>Yes</v>
      </c>
    </row>
    <row r="532" spans="1:6">
      <c r="A532">
        <v>1531</v>
      </c>
      <c r="B532" s="2">
        <v>45295.084722222222</v>
      </c>
      <c r="C532" t="str">
        <f>VLOOKUP(A532, user_table!$A:$B, 2, FALSE)</f>
        <v>Female</v>
      </c>
      <c r="D532" t="str">
        <f>VLOOKUP(A532, user_table!$A:$F, 5, FALSE)</f>
        <v>Tablet</v>
      </c>
      <c r="E532" t="str">
        <f>VLOOKUP(A532, user_table!$A:$F, 6, FALSE)</f>
        <v>Paid</v>
      </c>
      <c r="F532" s="1" t="str">
        <f>IF(ISNUMBER(MATCH(A532, search_page!$A:$A, 0)), "Yes", "No")</f>
        <v>No</v>
      </c>
    </row>
    <row r="533" spans="1:6">
      <c r="A533">
        <v>1532</v>
      </c>
      <c r="B533" s="2">
        <v>45374.761111111111</v>
      </c>
      <c r="C533" t="str">
        <f>VLOOKUP(A533, user_table!$A:$B, 2, FALSE)</f>
        <v>Female</v>
      </c>
      <c r="D533" t="str">
        <f>VLOOKUP(A533, user_table!$A:$F, 5, FALSE)</f>
        <v>Desktop</v>
      </c>
      <c r="E533" t="str">
        <f>VLOOKUP(A533, user_table!$A:$F, 6, FALSE)</f>
        <v>Social</v>
      </c>
      <c r="F533" s="1" t="str">
        <f>IF(ISNUMBER(MATCH(A533, search_page!$A:$A, 0)), "Yes", "No")</f>
        <v>No</v>
      </c>
    </row>
    <row r="534" spans="1:6">
      <c r="A534">
        <v>1533</v>
      </c>
      <c r="B534" s="2">
        <v>45375.28402777778</v>
      </c>
      <c r="C534" t="str">
        <f>VLOOKUP(A534, user_table!$A:$B, 2, FALSE)</f>
        <v>Female</v>
      </c>
      <c r="D534" t="str">
        <f>VLOOKUP(A534, user_table!$A:$F, 5, FALSE)</f>
        <v>Desktop</v>
      </c>
      <c r="E534" t="str">
        <f>VLOOKUP(A534, user_table!$A:$F, 6, FALSE)</f>
        <v>Social</v>
      </c>
      <c r="F534" s="1" t="str">
        <f>IF(ISNUMBER(MATCH(A534, search_page!$A:$A, 0)), "Yes", "No")</f>
        <v>No</v>
      </c>
    </row>
    <row r="535" spans="1:6">
      <c r="A535">
        <v>1534</v>
      </c>
      <c r="B535" s="2">
        <v>45365.568749999999</v>
      </c>
      <c r="C535" t="str">
        <f>VLOOKUP(A535, user_table!$A:$B, 2, FALSE)</f>
        <v>Female</v>
      </c>
      <c r="D535" t="str">
        <f>VLOOKUP(A535, user_table!$A:$F, 5, FALSE)</f>
        <v>Mobile</v>
      </c>
      <c r="E535" t="str">
        <f>VLOOKUP(A535, user_table!$A:$F, 6, FALSE)</f>
        <v>Organic</v>
      </c>
      <c r="F535" s="1" t="str">
        <f>IF(ISNUMBER(MATCH(A535, search_page!$A:$A, 0)), "Yes", "No")</f>
        <v>Yes</v>
      </c>
    </row>
    <row r="536" spans="1:6">
      <c r="A536">
        <v>1535</v>
      </c>
      <c r="B536" s="2">
        <v>45373.021527777775</v>
      </c>
      <c r="C536" t="str">
        <f>VLOOKUP(A536, user_table!$A:$B, 2, FALSE)</f>
        <v>Female</v>
      </c>
      <c r="D536" t="str">
        <f>VLOOKUP(A536, user_table!$A:$F, 5, FALSE)</f>
        <v>Tablet</v>
      </c>
      <c r="E536" t="str">
        <f>VLOOKUP(A536, user_table!$A:$F, 6, FALSE)</f>
        <v>Organic</v>
      </c>
      <c r="F536" s="1" t="str">
        <f>IF(ISNUMBER(MATCH(A536, search_page!$A:$A, 0)), "Yes", "No")</f>
        <v>No</v>
      </c>
    </row>
    <row r="537" spans="1:6">
      <c r="A537">
        <v>1536</v>
      </c>
      <c r="B537" s="2">
        <v>45372.720833333333</v>
      </c>
      <c r="C537" t="str">
        <f>VLOOKUP(A537, user_table!$A:$B, 2, FALSE)</f>
        <v>Female</v>
      </c>
      <c r="D537" t="str">
        <f>VLOOKUP(A537, user_table!$A:$F, 5, FALSE)</f>
        <v>Tablet</v>
      </c>
      <c r="E537" t="str">
        <f>VLOOKUP(A537, user_table!$A:$F, 6, FALSE)</f>
        <v>Organic</v>
      </c>
      <c r="F537" s="1" t="str">
        <f>IF(ISNUMBER(MATCH(A537, search_page!$A:$A, 0)), "Yes", "No")</f>
        <v>Yes</v>
      </c>
    </row>
    <row r="538" spans="1:6">
      <c r="A538">
        <v>1537</v>
      </c>
      <c r="B538" s="2">
        <v>45374.395833333336</v>
      </c>
      <c r="C538" t="str">
        <f>VLOOKUP(A538, user_table!$A:$B, 2, FALSE)</f>
        <v>Female</v>
      </c>
      <c r="D538" t="str">
        <f>VLOOKUP(A538, user_table!$A:$F, 5, FALSE)</f>
        <v>Desktop</v>
      </c>
      <c r="E538" t="str">
        <f>VLOOKUP(A538, user_table!$A:$F, 6, FALSE)</f>
        <v>Paid</v>
      </c>
      <c r="F538" s="1" t="str">
        <f>IF(ISNUMBER(MATCH(A538, search_page!$A:$A, 0)), "Yes", "No")</f>
        <v>No</v>
      </c>
    </row>
    <row r="539" spans="1:6">
      <c r="A539">
        <v>1538</v>
      </c>
      <c r="B539" s="2">
        <v>45323.892361111109</v>
      </c>
      <c r="C539" t="str">
        <f>VLOOKUP(A539, user_table!$A:$B, 2, FALSE)</f>
        <v>Male</v>
      </c>
      <c r="D539" t="str">
        <f>VLOOKUP(A539, user_table!$A:$F, 5, FALSE)</f>
        <v>Desktop</v>
      </c>
      <c r="E539" t="str">
        <f>VLOOKUP(A539, user_table!$A:$F, 6, FALSE)</f>
        <v>Social</v>
      </c>
      <c r="F539" s="1" t="str">
        <f>IF(ISNUMBER(MATCH(A539, search_page!$A:$A, 0)), "Yes", "No")</f>
        <v>No</v>
      </c>
    </row>
    <row r="540" spans="1:6">
      <c r="A540">
        <v>1539</v>
      </c>
      <c r="B540" s="2">
        <v>45330.586111111108</v>
      </c>
      <c r="C540" t="str">
        <f>VLOOKUP(A540, user_table!$A:$B, 2, FALSE)</f>
        <v>Male</v>
      </c>
      <c r="D540" t="str">
        <f>VLOOKUP(A540, user_table!$A:$F, 5, FALSE)</f>
        <v>Mobile</v>
      </c>
      <c r="E540" t="str">
        <f>VLOOKUP(A540, user_table!$A:$F, 6, FALSE)</f>
        <v>Email</v>
      </c>
      <c r="F540" s="1" t="str">
        <f>IF(ISNUMBER(MATCH(A540, search_page!$A:$A, 0)), "Yes", "No")</f>
        <v>No</v>
      </c>
    </row>
    <row r="541" spans="1:6">
      <c r="A541">
        <v>1540</v>
      </c>
      <c r="B541" s="2">
        <v>45380.048611111109</v>
      </c>
      <c r="C541" t="str">
        <f>VLOOKUP(A541, user_table!$A:$B, 2, FALSE)</f>
        <v>Male</v>
      </c>
      <c r="D541" t="str">
        <f>VLOOKUP(A541, user_table!$A:$F, 5, FALSE)</f>
        <v>Mobile</v>
      </c>
      <c r="E541" t="str">
        <f>VLOOKUP(A541, user_table!$A:$F, 6, FALSE)</f>
        <v>Organic</v>
      </c>
      <c r="F541" s="1" t="str">
        <f>IF(ISNUMBER(MATCH(A541, search_page!$A:$A, 0)), "Yes", "No")</f>
        <v>Yes</v>
      </c>
    </row>
    <row r="542" spans="1:6">
      <c r="A542">
        <v>1541</v>
      </c>
      <c r="B542" s="2">
        <v>45348.5625</v>
      </c>
      <c r="C542" t="str">
        <f>VLOOKUP(A542, user_table!$A:$B, 2, FALSE)</f>
        <v>Female</v>
      </c>
      <c r="D542" t="str">
        <f>VLOOKUP(A542, user_table!$A:$F, 5, FALSE)</f>
        <v>Desktop</v>
      </c>
      <c r="E542" t="str">
        <f>VLOOKUP(A542, user_table!$A:$F, 6, FALSE)</f>
        <v>Organic</v>
      </c>
      <c r="F542" s="1" t="str">
        <f>IF(ISNUMBER(MATCH(A542, search_page!$A:$A, 0)), "Yes", "No")</f>
        <v>Yes</v>
      </c>
    </row>
    <row r="543" spans="1:6">
      <c r="A543">
        <v>1542</v>
      </c>
      <c r="B543" s="2">
        <v>45351.26458333333</v>
      </c>
      <c r="C543" t="str">
        <f>VLOOKUP(A543, user_table!$A:$B, 2, FALSE)</f>
        <v>Female</v>
      </c>
      <c r="D543" t="str">
        <f>VLOOKUP(A543, user_table!$A:$F, 5, FALSE)</f>
        <v>Tablet</v>
      </c>
      <c r="E543" t="str">
        <f>VLOOKUP(A543, user_table!$A:$F, 6, FALSE)</f>
        <v>Direct</v>
      </c>
      <c r="F543" s="1" t="str">
        <f>IF(ISNUMBER(MATCH(A543, search_page!$A:$A, 0)), "Yes", "No")</f>
        <v>Yes</v>
      </c>
    </row>
    <row r="544" spans="1:6">
      <c r="A544">
        <v>1543</v>
      </c>
      <c r="B544" s="2">
        <v>45369.180555555555</v>
      </c>
      <c r="C544" t="str">
        <f>VLOOKUP(A544, user_table!$A:$B, 2, FALSE)</f>
        <v>Male</v>
      </c>
      <c r="D544" t="str">
        <f>VLOOKUP(A544, user_table!$A:$F, 5, FALSE)</f>
        <v>Mobile</v>
      </c>
      <c r="E544" t="str">
        <f>VLOOKUP(A544, user_table!$A:$F, 6, FALSE)</f>
        <v>Organic</v>
      </c>
      <c r="F544" s="1" t="str">
        <f>IF(ISNUMBER(MATCH(A544, search_page!$A:$A, 0)), "Yes", "No")</f>
        <v>Yes</v>
      </c>
    </row>
    <row r="545" spans="1:6">
      <c r="A545">
        <v>1544</v>
      </c>
      <c r="B545" s="2">
        <v>45332.996527777781</v>
      </c>
      <c r="C545" t="str">
        <f>VLOOKUP(A545, user_table!$A:$B, 2, FALSE)</f>
        <v>Female</v>
      </c>
      <c r="D545" t="str">
        <f>VLOOKUP(A545, user_table!$A:$F, 5, FALSE)</f>
        <v>Mobile</v>
      </c>
      <c r="E545" t="str">
        <f>VLOOKUP(A545, user_table!$A:$F, 6, FALSE)</f>
        <v>Paid</v>
      </c>
      <c r="F545" s="1" t="str">
        <f>IF(ISNUMBER(MATCH(A545, search_page!$A:$A, 0)), "Yes", "No")</f>
        <v>Yes</v>
      </c>
    </row>
    <row r="546" spans="1:6">
      <c r="A546">
        <v>1545</v>
      </c>
      <c r="B546" s="2">
        <v>45336.505555555559</v>
      </c>
      <c r="C546" t="str">
        <f>VLOOKUP(A546, user_table!$A:$B, 2, FALSE)</f>
        <v>Female</v>
      </c>
      <c r="D546" t="str">
        <f>VLOOKUP(A546, user_table!$A:$F, 5, FALSE)</f>
        <v>Tablet</v>
      </c>
      <c r="E546" t="str">
        <f>VLOOKUP(A546, user_table!$A:$F, 6, FALSE)</f>
        <v>Social</v>
      </c>
      <c r="F546" s="1" t="str">
        <f>IF(ISNUMBER(MATCH(A546, search_page!$A:$A, 0)), "Yes", "No")</f>
        <v>No</v>
      </c>
    </row>
    <row r="547" spans="1:6">
      <c r="A547">
        <v>1546</v>
      </c>
      <c r="B547" s="2">
        <v>45339.690972222219</v>
      </c>
      <c r="C547" t="str">
        <f>VLOOKUP(A547, user_table!$A:$B, 2, FALSE)</f>
        <v>Male</v>
      </c>
      <c r="D547" t="str">
        <f>VLOOKUP(A547, user_table!$A:$F, 5, FALSE)</f>
        <v>Mobile</v>
      </c>
      <c r="E547" t="str">
        <f>VLOOKUP(A547, user_table!$A:$F, 6, FALSE)</f>
        <v>Paid</v>
      </c>
      <c r="F547" s="1" t="str">
        <f>IF(ISNUMBER(MATCH(A547, search_page!$A:$A, 0)), "Yes", "No")</f>
        <v>Yes</v>
      </c>
    </row>
    <row r="548" spans="1:6">
      <c r="A548">
        <v>1547</v>
      </c>
      <c r="B548" s="2">
        <v>45305.427083333336</v>
      </c>
      <c r="C548" t="str">
        <f>VLOOKUP(A548, user_table!$A:$B, 2, FALSE)</f>
        <v>Male</v>
      </c>
      <c r="D548" t="str">
        <f>VLOOKUP(A548, user_table!$A:$F, 5, FALSE)</f>
        <v>Desktop</v>
      </c>
      <c r="E548" t="str">
        <f>VLOOKUP(A548, user_table!$A:$F, 6, FALSE)</f>
        <v>Organic</v>
      </c>
      <c r="F548" s="1" t="str">
        <f>IF(ISNUMBER(MATCH(A548, search_page!$A:$A, 0)), "Yes", "No")</f>
        <v>Yes</v>
      </c>
    </row>
    <row r="549" spans="1:6">
      <c r="A549">
        <v>1548</v>
      </c>
      <c r="B549" s="2">
        <v>45351.136805555558</v>
      </c>
      <c r="C549" t="str">
        <f>VLOOKUP(A549, user_table!$A:$B, 2, FALSE)</f>
        <v>Female</v>
      </c>
      <c r="D549" t="str">
        <f>VLOOKUP(A549, user_table!$A:$F, 5, FALSE)</f>
        <v>Mobile</v>
      </c>
      <c r="E549" t="str">
        <f>VLOOKUP(A549, user_table!$A:$F, 6, FALSE)</f>
        <v>Organic</v>
      </c>
      <c r="F549" s="1" t="str">
        <f>IF(ISNUMBER(MATCH(A549, search_page!$A:$A, 0)), "Yes", "No")</f>
        <v>No</v>
      </c>
    </row>
    <row r="550" spans="1:6">
      <c r="A550">
        <v>1549</v>
      </c>
      <c r="B550" s="2">
        <v>45349.29791666667</v>
      </c>
      <c r="C550" t="str">
        <f>VLOOKUP(A550, user_table!$A:$B, 2, FALSE)</f>
        <v>Female</v>
      </c>
      <c r="D550" t="str">
        <f>VLOOKUP(A550, user_table!$A:$F, 5, FALSE)</f>
        <v>Desktop</v>
      </c>
      <c r="E550" t="str">
        <f>VLOOKUP(A550, user_table!$A:$F, 6, FALSE)</f>
        <v>Organic</v>
      </c>
      <c r="F550" s="1" t="str">
        <f>IF(ISNUMBER(MATCH(A550, search_page!$A:$A, 0)), "Yes", "No")</f>
        <v>No</v>
      </c>
    </row>
    <row r="551" spans="1:6">
      <c r="A551">
        <v>1550</v>
      </c>
      <c r="B551" s="2">
        <v>45304.054166666669</v>
      </c>
      <c r="C551" t="str">
        <f>VLOOKUP(A551, user_table!$A:$B, 2, FALSE)</f>
        <v>Female</v>
      </c>
      <c r="D551" t="str">
        <f>VLOOKUP(A551, user_table!$A:$F, 5, FALSE)</f>
        <v>Mobile</v>
      </c>
      <c r="E551" t="str">
        <f>VLOOKUP(A551, user_table!$A:$F, 6, FALSE)</f>
        <v>Social</v>
      </c>
      <c r="F551" s="1" t="str">
        <f>IF(ISNUMBER(MATCH(A551, search_page!$A:$A, 0)), "Yes", "No")</f>
        <v>Yes</v>
      </c>
    </row>
    <row r="552" spans="1:6">
      <c r="A552">
        <v>1551</v>
      </c>
      <c r="B552" s="2">
        <v>45341.80972222222</v>
      </c>
      <c r="C552" t="str">
        <f>VLOOKUP(A552, user_table!$A:$B, 2, FALSE)</f>
        <v>Female</v>
      </c>
      <c r="D552" t="str">
        <f>VLOOKUP(A552, user_table!$A:$F, 5, FALSE)</f>
        <v>Desktop</v>
      </c>
      <c r="E552" t="str">
        <f>VLOOKUP(A552, user_table!$A:$F, 6, FALSE)</f>
        <v>Paid</v>
      </c>
      <c r="F552" s="1" t="str">
        <f>IF(ISNUMBER(MATCH(A552, search_page!$A:$A, 0)), "Yes", "No")</f>
        <v>Yes</v>
      </c>
    </row>
    <row r="553" spans="1:6">
      <c r="A553">
        <v>1552</v>
      </c>
      <c r="B553" s="2">
        <v>45323.244444444441</v>
      </c>
      <c r="C553" t="str">
        <f>VLOOKUP(A553, user_table!$A:$B, 2, FALSE)</f>
        <v>Female</v>
      </c>
      <c r="D553" t="str">
        <f>VLOOKUP(A553, user_table!$A:$F, 5, FALSE)</f>
        <v>Mobile</v>
      </c>
      <c r="E553" t="str">
        <f>VLOOKUP(A553, user_table!$A:$F, 6, FALSE)</f>
        <v>Organic</v>
      </c>
      <c r="F553" s="1" t="str">
        <f>IF(ISNUMBER(MATCH(A553, search_page!$A:$A, 0)), "Yes", "No")</f>
        <v>Yes</v>
      </c>
    </row>
    <row r="554" spans="1:6">
      <c r="A554">
        <v>1553</v>
      </c>
      <c r="B554" s="2">
        <v>45333.781944444447</v>
      </c>
      <c r="C554" t="str">
        <f>VLOOKUP(A554, user_table!$A:$B, 2, FALSE)</f>
        <v>Female</v>
      </c>
      <c r="D554" t="str">
        <f>VLOOKUP(A554, user_table!$A:$F, 5, FALSE)</f>
        <v>Desktop</v>
      </c>
      <c r="E554" t="str">
        <f>VLOOKUP(A554, user_table!$A:$F, 6, FALSE)</f>
        <v>Social</v>
      </c>
      <c r="F554" s="1" t="str">
        <f>IF(ISNUMBER(MATCH(A554, search_page!$A:$A, 0)), "Yes", "No")</f>
        <v>Yes</v>
      </c>
    </row>
    <row r="555" spans="1:6">
      <c r="A555">
        <v>1554</v>
      </c>
      <c r="B555" s="2">
        <v>45332.283333333333</v>
      </c>
      <c r="C555" t="str">
        <f>VLOOKUP(A555, user_table!$A:$B, 2, FALSE)</f>
        <v>Female</v>
      </c>
      <c r="D555" t="str">
        <f>VLOOKUP(A555, user_table!$A:$F, 5, FALSE)</f>
        <v>Desktop</v>
      </c>
      <c r="E555" t="str">
        <f>VLOOKUP(A555, user_table!$A:$F, 6, FALSE)</f>
        <v>Email</v>
      </c>
      <c r="F555" s="1" t="str">
        <f>IF(ISNUMBER(MATCH(A555, search_page!$A:$A, 0)), "Yes", "No")</f>
        <v>Yes</v>
      </c>
    </row>
    <row r="556" spans="1:6">
      <c r="A556">
        <v>1555</v>
      </c>
      <c r="B556" s="2">
        <v>45312.647222222222</v>
      </c>
      <c r="C556" t="str">
        <f>VLOOKUP(A556, user_table!$A:$B, 2, FALSE)</f>
        <v>Female</v>
      </c>
      <c r="D556" t="str">
        <f>VLOOKUP(A556, user_table!$A:$F, 5, FALSE)</f>
        <v>Desktop</v>
      </c>
      <c r="E556" t="str">
        <f>VLOOKUP(A556, user_table!$A:$F, 6, FALSE)</f>
        <v>Organic</v>
      </c>
      <c r="F556" s="1" t="str">
        <f>IF(ISNUMBER(MATCH(A556, search_page!$A:$A, 0)), "Yes", "No")</f>
        <v>No</v>
      </c>
    </row>
    <row r="557" spans="1:6">
      <c r="A557">
        <v>1556</v>
      </c>
      <c r="B557" s="2">
        <v>45351.663888888892</v>
      </c>
      <c r="C557" t="str">
        <f>VLOOKUP(A557, user_table!$A:$B, 2, FALSE)</f>
        <v>Male</v>
      </c>
      <c r="D557" t="str">
        <f>VLOOKUP(A557, user_table!$A:$F, 5, FALSE)</f>
        <v>Desktop</v>
      </c>
      <c r="E557" t="str">
        <f>VLOOKUP(A557, user_table!$A:$F, 6, FALSE)</f>
        <v>Paid</v>
      </c>
      <c r="F557" s="1" t="str">
        <f>IF(ISNUMBER(MATCH(A557, search_page!$A:$A, 0)), "Yes", "No")</f>
        <v>Yes</v>
      </c>
    </row>
    <row r="558" spans="1:6">
      <c r="A558">
        <v>1557</v>
      </c>
      <c r="B558" s="2">
        <v>45331.625694444447</v>
      </c>
      <c r="C558" t="str">
        <f>VLOOKUP(A558, user_table!$A:$B, 2, FALSE)</f>
        <v>Male</v>
      </c>
      <c r="D558" t="str">
        <f>VLOOKUP(A558, user_table!$A:$F, 5, FALSE)</f>
        <v>Mobile</v>
      </c>
      <c r="E558" t="str">
        <f>VLOOKUP(A558, user_table!$A:$F, 6, FALSE)</f>
        <v>Social</v>
      </c>
      <c r="F558" s="1" t="str">
        <f>IF(ISNUMBER(MATCH(A558, search_page!$A:$A, 0)), "Yes", "No")</f>
        <v>Yes</v>
      </c>
    </row>
    <row r="559" spans="1:6">
      <c r="A559">
        <v>1558</v>
      </c>
      <c r="B559" s="2">
        <v>45303.522222222222</v>
      </c>
      <c r="C559" t="str">
        <f>VLOOKUP(A559, user_table!$A:$B, 2, FALSE)</f>
        <v>Male</v>
      </c>
      <c r="D559" t="str">
        <f>VLOOKUP(A559, user_table!$A:$F, 5, FALSE)</f>
        <v>Mobile</v>
      </c>
      <c r="E559" t="str">
        <f>VLOOKUP(A559, user_table!$A:$F, 6, FALSE)</f>
        <v>Organic</v>
      </c>
      <c r="F559" s="1" t="str">
        <f>IF(ISNUMBER(MATCH(A559, search_page!$A:$A, 0)), "Yes", "No")</f>
        <v>No</v>
      </c>
    </row>
    <row r="560" spans="1:6">
      <c r="A560">
        <v>1559</v>
      </c>
      <c r="B560" s="2">
        <v>45350.300694444442</v>
      </c>
      <c r="C560" t="str">
        <f>VLOOKUP(A560, user_table!$A:$B, 2, FALSE)</f>
        <v>Female</v>
      </c>
      <c r="D560" t="str">
        <f>VLOOKUP(A560, user_table!$A:$F, 5, FALSE)</f>
        <v>Mobile</v>
      </c>
      <c r="E560" t="str">
        <f>VLOOKUP(A560, user_table!$A:$F, 6, FALSE)</f>
        <v>Paid</v>
      </c>
      <c r="F560" s="1" t="str">
        <f>IF(ISNUMBER(MATCH(A560, search_page!$A:$A, 0)), "Yes", "No")</f>
        <v>Yes</v>
      </c>
    </row>
    <row r="561" spans="1:6">
      <c r="A561">
        <v>1560</v>
      </c>
      <c r="B561" s="2">
        <v>45366.460416666669</v>
      </c>
      <c r="C561" t="str">
        <f>VLOOKUP(A561, user_table!$A:$B, 2, FALSE)</f>
        <v>Female</v>
      </c>
      <c r="D561" t="str">
        <f>VLOOKUP(A561, user_table!$A:$F, 5, FALSE)</f>
        <v>Desktop</v>
      </c>
      <c r="E561" t="str">
        <f>VLOOKUP(A561, user_table!$A:$F, 6, FALSE)</f>
        <v>Social</v>
      </c>
      <c r="F561" s="1" t="str">
        <f>IF(ISNUMBER(MATCH(A561, search_page!$A:$A, 0)), "Yes", "No")</f>
        <v>No</v>
      </c>
    </row>
    <row r="562" spans="1:6">
      <c r="A562">
        <v>1561</v>
      </c>
      <c r="B562" s="2">
        <v>45298.396527777775</v>
      </c>
      <c r="C562" t="str">
        <f>VLOOKUP(A562, user_table!$A:$B, 2, FALSE)</f>
        <v>Female</v>
      </c>
      <c r="D562" t="str">
        <f>VLOOKUP(A562, user_table!$A:$F, 5, FALSE)</f>
        <v>Desktop</v>
      </c>
      <c r="E562" t="str">
        <f>VLOOKUP(A562, user_table!$A:$F, 6, FALSE)</f>
        <v>Email</v>
      </c>
      <c r="F562" s="1" t="str">
        <f>IF(ISNUMBER(MATCH(A562, search_page!$A:$A, 0)), "Yes", "No")</f>
        <v>No</v>
      </c>
    </row>
    <row r="563" spans="1:6">
      <c r="A563">
        <v>1562</v>
      </c>
      <c r="B563" s="2">
        <v>45368.863194444442</v>
      </c>
      <c r="C563" t="str">
        <f>VLOOKUP(A563, user_table!$A:$B, 2, FALSE)</f>
        <v>Male</v>
      </c>
      <c r="D563" t="str">
        <f>VLOOKUP(A563, user_table!$A:$F, 5, FALSE)</f>
        <v>Desktop</v>
      </c>
      <c r="E563" t="str">
        <f>VLOOKUP(A563, user_table!$A:$F, 6, FALSE)</f>
        <v>Email</v>
      </c>
      <c r="F563" s="1" t="str">
        <f>IF(ISNUMBER(MATCH(A563, search_page!$A:$A, 0)), "Yes", "No")</f>
        <v>No</v>
      </c>
    </row>
    <row r="564" spans="1:6">
      <c r="A564">
        <v>1563</v>
      </c>
      <c r="B564" s="2">
        <v>45352.398611111108</v>
      </c>
      <c r="C564" t="str">
        <f>VLOOKUP(A564, user_table!$A:$B, 2, FALSE)</f>
        <v>Male</v>
      </c>
      <c r="D564" t="str">
        <f>VLOOKUP(A564, user_table!$A:$F, 5, FALSE)</f>
        <v>Desktop</v>
      </c>
      <c r="E564" t="str">
        <f>VLOOKUP(A564, user_table!$A:$F, 6, FALSE)</f>
        <v>Social</v>
      </c>
      <c r="F564" s="1" t="str">
        <f>IF(ISNUMBER(MATCH(A564, search_page!$A:$A, 0)), "Yes", "No")</f>
        <v>Yes</v>
      </c>
    </row>
    <row r="565" spans="1:6">
      <c r="A565">
        <v>1564</v>
      </c>
      <c r="B565" s="2">
        <v>45293.143750000003</v>
      </c>
      <c r="C565" t="str">
        <f>VLOOKUP(A565, user_table!$A:$B, 2, FALSE)</f>
        <v>Male</v>
      </c>
      <c r="D565" t="str">
        <f>VLOOKUP(A565, user_table!$A:$F, 5, FALSE)</f>
        <v>Tablet</v>
      </c>
      <c r="E565" t="str">
        <f>VLOOKUP(A565, user_table!$A:$F, 6, FALSE)</f>
        <v>Social</v>
      </c>
      <c r="F565" s="1" t="str">
        <f>IF(ISNUMBER(MATCH(A565, search_page!$A:$A, 0)), "Yes", "No")</f>
        <v>Yes</v>
      </c>
    </row>
    <row r="566" spans="1:6">
      <c r="A566">
        <v>1565</v>
      </c>
      <c r="B566" s="2">
        <v>45309.365277777775</v>
      </c>
      <c r="C566" t="str">
        <f>VLOOKUP(A566, user_table!$A:$B, 2, FALSE)</f>
        <v>Male</v>
      </c>
      <c r="D566" t="str">
        <f>VLOOKUP(A566, user_table!$A:$F, 5, FALSE)</f>
        <v>Desktop</v>
      </c>
      <c r="E566" t="str">
        <f>VLOOKUP(A566, user_table!$A:$F, 6, FALSE)</f>
        <v>Paid</v>
      </c>
      <c r="F566" s="1" t="str">
        <f>IF(ISNUMBER(MATCH(A566, search_page!$A:$A, 0)), "Yes", "No")</f>
        <v>Yes</v>
      </c>
    </row>
    <row r="567" spans="1:6">
      <c r="A567">
        <v>1566</v>
      </c>
      <c r="B567" s="2">
        <v>45338.515972222223</v>
      </c>
      <c r="C567" t="str">
        <f>VLOOKUP(A567, user_table!$A:$B, 2, FALSE)</f>
        <v>Female</v>
      </c>
      <c r="D567" t="str">
        <f>VLOOKUP(A567, user_table!$A:$F, 5, FALSE)</f>
        <v>Desktop</v>
      </c>
      <c r="E567" t="str">
        <f>VLOOKUP(A567, user_table!$A:$F, 6, FALSE)</f>
        <v>Social</v>
      </c>
      <c r="F567" s="1" t="str">
        <f>IF(ISNUMBER(MATCH(A567, search_page!$A:$A, 0)), "Yes", "No")</f>
        <v>Yes</v>
      </c>
    </row>
    <row r="568" spans="1:6">
      <c r="A568">
        <v>1567</v>
      </c>
      <c r="B568" s="2">
        <v>45297.502083333333</v>
      </c>
      <c r="C568" t="str">
        <f>VLOOKUP(A568, user_table!$A:$B, 2, FALSE)</f>
        <v>Male</v>
      </c>
      <c r="D568" t="str">
        <f>VLOOKUP(A568, user_table!$A:$F, 5, FALSE)</f>
        <v>Desktop</v>
      </c>
      <c r="E568" t="str">
        <f>VLOOKUP(A568, user_table!$A:$F, 6, FALSE)</f>
        <v>Paid</v>
      </c>
      <c r="F568" s="1" t="str">
        <f>IF(ISNUMBER(MATCH(A568, search_page!$A:$A, 0)), "Yes", "No")</f>
        <v>Yes</v>
      </c>
    </row>
    <row r="569" spans="1:6">
      <c r="A569">
        <v>1568</v>
      </c>
      <c r="B569" s="2">
        <v>45364.716666666667</v>
      </c>
      <c r="C569" t="str">
        <f>VLOOKUP(A569, user_table!$A:$B, 2, FALSE)</f>
        <v>Male</v>
      </c>
      <c r="D569" t="str">
        <f>VLOOKUP(A569, user_table!$A:$F, 5, FALSE)</f>
        <v>Desktop</v>
      </c>
      <c r="E569" t="str">
        <f>VLOOKUP(A569, user_table!$A:$F, 6, FALSE)</f>
        <v>Organic</v>
      </c>
      <c r="F569" s="1" t="str">
        <f>IF(ISNUMBER(MATCH(A569, search_page!$A:$A, 0)), "Yes", "No")</f>
        <v>Yes</v>
      </c>
    </row>
    <row r="570" spans="1:6">
      <c r="A570">
        <v>1569</v>
      </c>
      <c r="B570" s="2">
        <v>45338.720833333333</v>
      </c>
      <c r="C570" t="str">
        <f>VLOOKUP(A570, user_table!$A:$B, 2, FALSE)</f>
        <v>Female</v>
      </c>
      <c r="D570" t="str">
        <f>VLOOKUP(A570, user_table!$A:$F, 5, FALSE)</f>
        <v>Mobile</v>
      </c>
      <c r="E570" t="str">
        <f>VLOOKUP(A570, user_table!$A:$F, 6, FALSE)</f>
        <v>Social</v>
      </c>
      <c r="F570" s="1" t="str">
        <f>IF(ISNUMBER(MATCH(A570, search_page!$A:$A, 0)), "Yes", "No")</f>
        <v>Yes</v>
      </c>
    </row>
    <row r="571" spans="1:6">
      <c r="A571">
        <v>1570</v>
      </c>
      <c r="B571" s="2">
        <v>45301.522222222222</v>
      </c>
      <c r="C571" t="str">
        <f>VLOOKUP(A571, user_table!$A:$B, 2, FALSE)</f>
        <v>Male</v>
      </c>
      <c r="D571" t="str">
        <f>VLOOKUP(A571, user_table!$A:$F, 5, FALSE)</f>
        <v>Mobile</v>
      </c>
      <c r="E571" t="str">
        <f>VLOOKUP(A571, user_table!$A:$F, 6, FALSE)</f>
        <v>Social</v>
      </c>
      <c r="F571" s="1" t="str">
        <f>IF(ISNUMBER(MATCH(A571, search_page!$A:$A, 0)), "Yes", "No")</f>
        <v>Yes</v>
      </c>
    </row>
    <row r="572" spans="1:6">
      <c r="A572">
        <v>1571</v>
      </c>
      <c r="B572" s="2">
        <v>45349.720138888886</v>
      </c>
      <c r="C572" t="str">
        <f>VLOOKUP(A572, user_table!$A:$B, 2, FALSE)</f>
        <v>Male</v>
      </c>
      <c r="D572" t="str">
        <f>VLOOKUP(A572, user_table!$A:$F, 5, FALSE)</f>
        <v>Desktop</v>
      </c>
      <c r="E572" t="str">
        <f>VLOOKUP(A572, user_table!$A:$F, 6, FALSE)</f>
        <v>Paid</v>
      </c>
      <c r="F572" s="1" t="str">
        <f>IF(ISNUMBER(MATCH(A572, search_page!$A:$A, 0)), "Yes", "No")</f>
        <v>Yes</v>
      </c>
    </row>
    <row r="573" spans="1:6">
      <c r="A573">
        <v>1572</v>
      </c>
      <c r="B573" s="2">
        <v>45371.902083333334</v>
      </c>
      <c r="C573" t="str">
        <f>VLOOKUP(A573, user_table!$A:$B, 2, FALSE)</f>
        <v>Female</v>
      </c>
      <c r="D573" t="str">
        <f>VLOOKUP(A573, user_table!$A:$F, 5, FALSE)</f>
        <v>Desktop</v>
      </c>
      <c r="E573" t="str">
        <f>VLOOKUP(A573, user_table!$A:$F, 6, FALSE)</f>
        <v>Direct</v>
      </c>
      <c r="F573" s="1" t="str">
        <f>IF(ISNUMBER(MATCH(A573, search_page!$A:$A, 0)), "Yes", "No")</f>
        <v>No</v>
      </c>
    </row>
    <row r="574" spans="1:6">
      <c r="A574">
        <v>1573</v>
      </c>
      <c r="B574" s="2">
        <v>45307.17083333333</v>
      </c>
      <c r="C574" t="str">
        <f>VLOOKUP(A574, user_table!$A:$B, 2, FALSE)</f>
        <v>Male</v>
      </c>
      <c r="D574" t="str">
        <f>VLOOKUP(A574, user_table!$A:$F, 5, FALSE)</f>
        <v>Desktop</v>
      </c>
      <c r="E574" t="str">
        <f>VLOOKUP(A574, user_table!$A:$F, 6, FALSE)</f>
        <v>Organic</v>
      </c>
      <c r="F574" s="1" t="str">
        <f>IF(ISNUMBER(MATCH(A574, search_page!$A:$A, 0)), "Yes", "No")</f>
        <v>No</v>
      </c>
    </row>
    <row r="575" spans="1:6">
      <c r="A575">
        <v>1574</v>
      </c>
      <c r="B575" s="2">
        <v>45342.493055555555</v>
      </c>
      <c r="C575" t="str">
        <f>VLOOKUP(A575, user_table!$A:$B, 2, FALSE)</f>
        <v>Female</v>
      </c>
      <c r="D575" t="str">
        <f>VLOOKUP(A575, user_table!$A:$F, 5, FALSE)</f>
        <v>Desktop</v>
      </c>
      <c r="E575" t="str">
        <f>VLOOKUP(A575, user_table!$A:$F, 6, FALSE)</f>
        <v>Paid</v>
      </c>
      <c r="F575" s="1" t="str">
        <f>IF(ISNUMBER(MATCH(A575, search_page!$A:$A, 0)), "Yes", "No")</f>
        <v>No</v>
      </c>
    </row>
    <row r="576" spans="1:6">
      <c r="A576">
        <v>1575</v>
      </c>
      <c r="B576" s="2">
        <v>45335.724305555559</v>
      </c>
      <c r="C576" t="str">
        <f>VLOOKUP(A576, user_table!$A:$B, 2, FALSE)</f>
        <v>Female</v>
      </c>
      <c r="D576" t="str">
        <f>VLOOKUP(A576, user_table!$A:$F, 5, FALSE)</f>
        <v>Desktop</v>
      </c>
      <c r="E576" t="str">
        <f>VLOOKUP(A576, user_table!$A:$F, 6, FALSE)</f>
        <v>Organic</v>
      </c>
      <c r="F576" s="1" t="str">
        <f>IF(ISNUMBER(MATCH(A576, search_page!$A:$A, 0)), "Yes", "No")</f>
        <v>Yes</v>
      </c>
    </row>
    <row r="577" spans="1:6">
      <c r="A577">
        <v>1576</v>
      </c>
      <c r="B577" s="2">
        <v>45310.276388888888</v>
      </c>
      <c r="C577" t="str">
        <f>VLOOKUP(A577, user_table!$A:$B, 2, FALSE)</f>
        <v>Female</v>
      </c>
      <c r="D577" t="str">
        <f>VLOOKUP(A577, user_table!$A:$F, 5, FALSE)</f>
        <v>Tablet</v>
      </c>
      <c r="E577" t="str">
        <f>VLOOKUP(A577, user_table!$A:$F, 6, FALSE)</f>
        <v>Email</v>
      </c>
      <c r="F577" s="1" t="str">
        <f>IF(ISNUMBER(MATCH(A577, search_page!$A:$A, 0)), "Yes", "No")</f>
        <v>No</v>
      </c>
    </row>
    <row r="578" spans="1:6">
      <c r="A578">
        <v>1577</v>
      </c>
      <c r="B578" s="2">
        <v>45357.522222222222</v>
      </c>
      <c r="C578" t="str">
        <f>VLOOKUP(A578, user_table!$A:$B, 2, FALSE)</f>
        <v>Male</v>
      </c>
      <c r="D578" t="str">
        <f>VLOOKUP(A578, user_table!$A:$F, 5, FALSE)</f>
        <v>Mobile</v>
      </c>
      <c r="E578" t="str">
        <f>VLOOKUP(A578, user_table!$A:$F, 6, FALSE)</f>
        <v>Social</v>
      </c>
      <c r="F578" s="1" t="str">
        <f>IF(ISNUMBER(MATCH(A578, search_page!$A:$A, 0)), "Yes", "No")</f>
        <v>Yes</v>
      </c>
    </row>
    <row r="579" spans="1:6">
      <c r="A579">
        <v>1578</v>
      </c>
      <c r="B579" s="2">
        <v>45297.043055555558</v>
      </c>
      <c r="C579" t="str">
        <f>VLOOKUP(A579, user_table!$A:$B, 2, FALSE)</f>
        <v>Female</v>
      </c>
      <c r="D579" t="str">
        <f>VLOOKUP(A579, user_table!$A:$F, 5, FALSE)</f>
        <v>Mobile</v>
      </c>
      <c r="E579" t="str">
        <f>VLOOKUP(A579, user_table!$A:$F, 6, FALSE)</f>
        <v>Paid</v>
      </c>
      <c r="F579" s="1" t="str">
        <f>IF(ISNUMBER(MATCH(A579, search_page!$A:$A, 0)), "Yes", "No")</f>
        <v>No</v>
      </c>
    </row>
    <row r="580" spans="1:6">
      <c r="A580">
        <v>1579</v>
      </c>
      <c r="B580" s="2">
        <v>45309.931250000001</v>
      </c>
      <c r="C580" t="str">
        <f>VLOOKUP(A580, user_table!$A:$B, 2, FALSE)</f>
        <v>Male</v>
      </c>
      <c r="D580" t="str">
        <f>VLOOKUP(A580, user_table!$A:$F, 5, FALSE)</f>
        <v>Desktop</v>
      </c>
      <c r="E580" t="str">
        <f>VLOOKUP(A580, user_table!$A:$F, 6, FALSE)</f>
        <v>Social</v>
      </c>
      <c r="F580" s="1" t="str">
        <f>IF(ISNUMBER(MATCH(A580, search_page!$A:$A, 0)), "Yes", "No")</f>
        <v>Yes</v>
      </c>
    </row>
    <row r="581" spans="1:6">
      <c r="A581">
        <v>1580</v>
      </c>
      <c r="B581" s="2">
        <v>45352.686805555553</v>
      </c>
      <c r="C581" t="str">
        <f>VLOOKUP(A581, user_table!$A:$B, 2, FALSE)</f>
        <v>Male</v>
      </c>
      <c r="D581" t="str">
        <f>VLOOKUP(A581, user_table!$A:$F, 5, FALSE)</f>
        <v>Desktop</v>
      </c>
      <c r="E581" t="str">
        <f>VLOOKUP(A581, user_table!$A:$F, 6, FALSE)</f>
        <v>Paid</v>
      </c>
      <c r="F581" s="1" t="str">
        <f>IF(ISNUMBER(MATCH(A581, search_page!$A:$A, 0)), "Yes", "No")</f>
        <v>No</v>
      </c>
    </row>
    <row r="582" spans="1:6">
      <c r="A582">
        <v>1581</v>
      </c>
      <c r="B582" s="2">
        <v>45311.831250000003</v>
      </c>
      <c r="C582" t="str">
        <f>VLOOKUP(A582, user_table!$A:$B, 2, FALSE)</f>
        <v>Male</v>
      </c>
      <c r="D582" t="str">
        <f>VLOOKUP(A582, user_table!$A:$F, 5, FALSE)</f>
        <v>Mobile</v>
      </c>
      <c r="E582" t="str">
        <f>VLOOKUP(A582, user_table!$A:$F, 6, FALSE)</f>
        <v>Email</v>
      </c>
      <c r="F582" s="1" t="str">
        <f>IF(ISNUMBER(MATCH(A582, search_page!$A:$A, 0)), "Yes", "No")</f>
        <v>Yes</v>
      </c>
    </row>
    <row r="583" spans="1:6">
      <c r="A583">
        <v>1582</v>
      </c>
      <c r="B583" s="2">
        <v>45357.180555555555</v>
      </c>
      <c r="C583" t="str">
        <f>VLOOKUP(A583, user_table!$A:$B, 2, FALSE)</f>
        <v>Female</v>
      </c>
      <c r="D583" t="str">
        <f>VLOOKUP(A583, user_table!$A:$F, 5, FALSE)</f>
        <v>Mobile</v>
      </c>
      <c r="E583" t="str">
        <f>VLOOKUP(A583, user_table!$A:$F, 6, FALSE)</f>
        <v>Paid</v>
      </c>
      <c r="F583" s="1" t="str">
        <f>IF(ISNUMBER(MATCH(A583, search_page!$A:$A, 0)), "Yes", "No")</f>
        <v>No</v>
      </c>
    </row>
    <row r="584" spans="1:6">
      <c r="A584">
        <v>1583</v>
      </c>
      <c r="B584" s="2">
        <v>45370.423611111109</v>
      </c>
      <c r="C584" t="str">
        <f>VLOOKUP(A584, user_table!$A:$B, 2, FALSE)</f>
        <v>Male</v>
      </c>
      <c r="D584" t="str">
        <f>VLOOKUP(A584, user_table!$A:$F, 5, FALSE)</f>
        <v>Mobile</v>
      </c>
      <c r="E584" t="str">
        <f>VLOOKUP(A584, user_table!$A:$F, 6, FALSE)</f>
        <v>Paid</v>
      </c>
      <c r="F584" s="1" t="str">
        <f>IF(ISNUMBER(MATCH(A584, search_page!$A:$A, 0)), "Yes", "No")</f>
        <v>No</v>
      </c>
    </row>
    <row r="585" spans="1:6">
      <c r="A585">
        <v>1584</v>
      </c>
      <c r="B585" s="2">
        <v>45342.824305555558</v>
      </c>
      <c r="C585" t="str">
        <f>VLOOKUP(A585, user_table!$A:$B, 2, FALSE)</f>
        <v>Male</v>
      </c>
      <c r="D585" t="str">
        <f>VLOOKUP(A585, user_table!$A:$F, 5, FALSE)</f>
        <v>Desktop</v>
      </c>
      <c r="E585" t="str">
        <f>VLOOKUP(A585, user_table!$A:$F, 6, FALSE)</f>
        <v>Direct</v>
      </c>
      <c r="F585" s="1" t="str">
        <f>IF(ISNUMBER(MATCH(A585, search_page!$A:$A, 0)), "Yes", "No")</f>
        <v>Yes</v>
      </c>
    </row>
    <row r="586" spans="1:6">
      <c r="A586">
        <v>1585</v>
      </c>
      <c r="B586" s="2">
        <v>45330.76458333333</v>
      </c>
      <c r="C586" t="str">
        <f>VLOOKUP(A586, user_table!$A:$B, 2, FALSE)</f>
        <v>Female</v>
      </c>
      <c r="D586" t="str">
        <f>VLOOKUP(A586, user_table!$A:$F, 5, FALSE)</f>
        <v>Mobile</v>
      </c>
      <c r="E586" t="str">
        <f>VLOOKUP(A586, user_table!$A:$F, 6, FALSE)</f>
        <v>Organic</v>
      </c>
      <c r="F586" s="1" t="str">
        <f>IF(ISNUMBER(MATCH(A586, search_page!$A:$A, 0)), "Yes", "No")</f>
        <v>Yes</v>
      </c>
    </row>
    <row r="587" spans="1:6">
      <c r="A587">
        <v>1586</v>
      </c>
      <c r="B587" s="2">
        <v>45356.69027777778</v>
      </c>
      <c r="C587" t="str">
        <f>VLOOKUP(A587, user_table!$A:$B, 2, FALSE)</f>
        <v>Male</v>
      </c>
      <c r="D587" t="str">
        <f>VLOOKUP(A587, user_table!$A:$F, 5, FALSE)</f>
        <v>Desktop</v>
      </c>
      <c r="E587" t="str">
        <f>VLOOKUP(A587, user_table!$A:$F, 6, FALSE)</f>
        <v>Organic</v>
      </c>
      <c r="F587" s="1" t="str">
        <f>IF(ISNUMBER(MATCH(A587, search_page!$A:$A, 0)), "Yes", "No")</f>
        <v>No</v>
      </c>
    </row>
    <row r="588" spans="1:6">
      <c r="A588">
        <v>1587</v>
      </c>
      <c r="B588" s="2">
        <v>45354.941666666666</v>
      </c>
      <c r="C588" t="str">
        <f>VLOOKUP(A588, user_table!$A:$B, 2, FALSE)</f>
        <v>Male</v>
      </c>
      <c r="D588" t="str">
        <f>VLOOKUP(A588, user_table!$A:$F, 5, FALSE)</f>
        <v>Tablet</v>
      </c>
      <c r="E588" t="str">
        <f>VLOOKUP(A588, user_table!$A:$F, 6, FALSE)</f>
        <v>Social</v>
      </c>
      <c r="F588" s="1" t="str">
        <f>IF(ISNUMBER(MATCH(A588, search_page!$A:$A, 0)), "Yes", "No")</f>
        <v>No</v>
      </c>
    </row>
    <row r="589" spans="1:6">
      <c r="A589">
        <v>1588</v>
      </c>
      <c r="B589" s="2">
        <v>45330.661111111112</v>
      </c>
      <c r="C589" t="str">
        <f>VLOOKUP(A589, user_table!$A:$B, 2, FALSE)</f>
        <v>Male</v>
      </c>
      <c r="D589" t="str">
        <f>VLOOKUP(A589, user_table!$A:$F, 5, FALSE)</f>
        <v>Mobile</v>
      </c>
      <c r="E589" t="str">
        <f>VLOOKUP(A589, user_table!$A:$F, 6, FALSE)</f>
        <v>Direct</v>
      </c>
      <c r="F589" s="1" t="str">
        <f>IF(ISNUMBER(MATCH(A589, search_page!$A:$A, 0)), "Yes", "No")</f>
        <v>No</v>
      </c>
    </row>
    <row r="590" spans="1:6">
      <c r="A590">
        <v>1589</v>
      </c>
      <c r="B590" s="2">
        <v>45294.472916666666</v>
      </c>
      <c r="C590" t="str">
        <f>VLOOKUP(A590, user_table!$A:$B, 2, FALSE)</f>
        <v>Male</v>
      </c>
      <c r="D590" t="str">
        <f>VLOOKUP(A590, user_table!$A:$F, 5, FALSE)</f>
        <v>Mobile</v>
      </c>
      <c r="E590" t="str">
        <f>VLOOKUP(A590, user_table!$A:$F, 6, FALSE)</f>
        <v>Paid</v>
      </c>
      <c r="F590" s="1" t="str">
        <f>IF(ISNUMBER(MATCH(A590, search_page!$A:$A, 0)), "Yes", "No")</f>
        <v>Yes</v>
      </c>
    </row>
    <row r="591" spans="1:6">
      <c r="A591">
        <v>1590</v>
      </c>
      <c r="B591" s="2">
        <v>45378.143055555556</v>
      </c>
      <c r="C591" t="str">
        <f>VLOOKUP(A591, user_table!$A:$B, 2, FALSE)</f>
        <v>Male</v>
      </c>
      <c r="D591" t="str">
        <f>VLOOKUP(A591, user_table!$A:$F, 5, FALSE)</f>
        <v>Desktop</v>
      </c>
      <c r="E591" t="str">
        <f>VLOOKUP(A591, user_table!$A:$F, 6, FALSE)</f>
        <v>Organic</v>
      </c>
      <c r="F591" s="1" t="str">
        <f>IF(ISNUMBER(MATCH(A591, search_page!$A:$A, 0)), "Yes", "No")</f>
        <v>No</v>
      </c>
    </row>
    <row r="592" spans="1:6">
      <c r="A592">
        <v>1591</v>
      </c>
      <c r="B592" s="2">
        <v>45366.409722222219</v>
      </c>
      <c r="C592" t="str">
        <f>VLOOKUP(A592, user_table!$A:$B, 2, FALSE)</f>
        <v>Male</v>
      </c>
      <c r="D592" t="str">
        <f>VLOOKUP(A592, user_table!$A:$F, 5, FALSE)</f>
        <v>Mobile</v>
      </c>
      <c r="E592" t="str">
        <f>VLOOKUP(A592, user_table!$A:$F, 6, FALSE)</f>
        <v>Paid</v>
      </c>
      <c r="F592" s="1" t="str">
        <f>IF(ISNUMBER(MATCH(A592, search_page!$A:$A, 0)), "Yes", "No")</f>
        <v>Yes</v>
      </c>
    </row>
    <row r="593" spans="1:6">
      <c r="A593">
        <v>1592</v>
      </c>
      <c r="B593" s="2">
        <v>45380.834027777775</v>
      </c>
      <c r="C593" t="str">
        <f>VLOOKUP(A593, user_table!$A:$B, 2, FALSE)</f>
        <v>Female</v>
      </c>
      <c r="D593" t="str">
        <f>VLOOKUP(A593, user_table!$A:$F, 5, FALSE)</f>
        <v>Desktop</v>
      </c>
      <c r="E593" t="str">
        <f>VLOOKUP(A593, user_table!$A:$F, 6, FALSE)</f>
        <v>Paid</v>
      </c>
      <c r="F593" s="1" t="str">
        <f>IF(ISNUMBER(MATCH(A593, search_page!$A:$A, 0)), "Yes", "No")</f>
        <v>Yes</v>
      </c>
    </row>
    <row r="594" spans="1:6">
      <c r="A594">
        <v>1593</v>
      </c>
      <c r="B594" s="2">
        <v>45368.636111111111</v>
      </c>
      <c r="C594" t="str">
        <f>VLOOKUP(A594, user_table!$A:$B, 2, FALSE)</f>
        <v>Male</v>
      </c>
      <c r="D594" t="str">
        <f>VLOOKUP(A594, user_table!$A:$F, 5, FALSE)</f>
        <v>Desktop</v>
      </c>
      <c r="E594" t="str">
        <f>VLOOKUP(A594, user_table!$A:$F, 6, FALSE)</f>
        <v>Organic</v>
      </c>
      <c r="F594" s="1" t="str">
        <f>IF(ISNUMBER(MATCH(A594, search_page!$A:$A, 0)), "Yes", "No")</f>
        <v>Yes</v>
      </c>
    </row>
    <row r="595" spans="1:6">
      <c r="A595">
        <v>1594</v>
      </c>
      <c r="B595" s="2">
        <v>45375.775000000001</v>
      </c>
      <c r="C595" t="str">
        <f>VLOOKUP(A595, user_table!$A:$B, 2, FALSE)</f>
        <v>Male</v>
      </c>
      <c r="D595" t="str">
        <f>VLOOKUP(A595, user_table!$A:$F, 5, FALSE)</f>
        <v>Desktop</v>
      </c>
      <c r="E595" t="str">
        <f>VLOOKUP(A595, user_table!$A:$F, 6, FALSE)</f>
        <v>Social</v>
      </c>
      <c r="F595" s="1" t="str">
        <f>IF(ISNUMBER(MATCH(A595, search_page!$A:$A, 0)), "Yes", "No")</f>
        <v>Yes</v>
      </c>
    </row>
    <row r="596" spans="1:6">
      <c r="A596">
        <v>1595</v>
      </c>
      <c r="B596" s="2">
        <v>45321.960416666669</v>
      </c>
      <c r="C596" t="str">
        <f>VLOOKUP(A596, user_table!$A:$B, 2, FALSE)</f>
        <v>Female</v>
      </c>
      <c r="D596" t="str">
        <f>VLOOKUP(A596, user_table!$A:$F, 5, FALSE)</f>
        <v>Mobile</v>
      </c>
      <c r="E596" t="str">
        <f>VLOOKUP(A596, user_table!$A:$F, 6, FALSE)</f>
        <v>Direct</v>
      </c>
      <c r="F596" s="1" t="str">
        <f>IF(ISNUMBER(MATCH(A596, search_page!$A:$A, 0)), "Yes", "No")</f>
        <v>No</v>
      </c>
    </row>
    <row r="597" spans="1:6">
      <c r="A597">
        <v>1596</v>
      </c>
      <c r="B597" s="2">
        <v>45366.631944444445</v>
      </c>
      <c r="C597" t="str">
        <f>VLOOKUP(A597, user_table!$A:$B, 2, FALSE)</f>
        <v>Male</v>
      </c>
      <c r="D597" t="str">
        <f>VLOOKUP(A597, user_table!$A:$F, 5, FALSE)</f>
        <v>Desktop</v>
      </c>
      <c r="E597" t="str">
        <f>VLOOKUP(A597, user_table!$A:$F, 6, FALSE)</f>
        <v>Paid</v>
      </c>
      <c r="F597" s="1" t="str">
        <f>IF(ISNUMBER(MATCH(A597, search_page!$A:$A, 0)), "Yes", "No")</f>
        <v>No</v>
      </c>
    </row>
    <row r="598" spans="1:6">
      <c r="A598">
        <v>1597</v>
      </c>
      <c r="B598" s="2">
        <v>45359.865277777775</v>
      </c>
      <c r="C598" t="str">
        <f>VLOOKUP(A598, user_table!$A:$B, 2, FALSE)</f>
        <v>Female</v>
      </c>
      <c r="D598" t="str">
        <f>VLOOKUP(A598, user_table!$A:$F, 5, FALSE)</f>
        <v>Desktop</v>
      </c>
      <c r="E598" t="str">
        <f>VLOOKUP(A598, user_table!$A:$F, 6, FALSE)</f>
        <v>Paid</v>
      </c>
      <c r="F598" s="1" t="str">
        <f>IF(ISNUMBER(MATCH(A598, search_page!$A:$A, 0)), "Yes", "No")</f>
        <v>No</v>
      </c>
    </row>
    <row r="599" spans="1:6">
      <c r="A599">
        <v>1598</v>
      </c>
      <c r="B599" s="2">
        <v>45371.506249999999</v>
      </c>
      <c r="C599" t="str">
        <f>VLOOKUP(A599, user_table!$A:$B, 2, FALSE)</f>
        <v>Male</v>
      </c>
      <c r="D599" t="str">
        <f>VLOOKUP(A599, user_table!$A:$F, 5, FALSE)</f>
        <v>Tablet</v>
      </c>
      <c r="E599" t="str">
        <f>VLOOKUP(A599, user_table!$A:$F, 6, FALSE)</f>
        <v>Paid</v>
      </c>
      <c r="F599" s="1" t="str">
        <f>IF(ISNUMBER(MATCH(A599, search_page!$A:$A, 0)), "Yes", "No")</f>
        <v>Yes</v>
      </c>
    </row>
    <row r="600" spans="1:6">
      <c r="A600">
        <v>1599</v>
      </c>
      <c r="B600" s="2">
        <v>45379.293055555558</v>
      </c>
      <c r="C600" t="str">
        <f>VLOOKUP(A600, user_table!$A:$B, 2, FALSE)</f>
        <v>Male</v>
      </c>
      <c r="D600" t="str">
        <f>VLOOKUP(A600, user_table!$A:$F, 5, FALSE)</f>
        <v>Desktop</v>
      </c>
      <c r="E600" t="str">
        <f>VLOOKUP(A600, user_table!$A:$F, 6, FALSE)</f>
        <v>Organic</v>
      </c>
      <c r="F600" s="1" t="str">
        <f>IF(ISNUMBER(MATCH(A600, search_page!$A:$A, 0)), "Yes", "No")</f>
        <v>Yes</v>
      </c>
    </row>
    <row r="601" spans="1:6">
      <c r="A601">
        <v>1600</v>
      </c>
      <c r="B601" s="2">
        <v>45365.921527777777</v>
      </c>
      <c r="C601" t="str">
        <f>VLOOKUP(A601, user_table!$A:$B, 2, FALSE)</f>
        <v>Male</v>
      </c>
      <c r="D601" t="str">
        <f>VLOOKUP(A601, user_table!$A:$F, 5, FALSE)</f>
        <v>Mobile</v>
      </c>
      <c r="E601" t="str">
        <f>VLOOKUP(A601, user_table!$A:$F, 6, FALSE)</f>
        <v>Email</v>
      </c>
      <c r="F601" s="1" t="str">
        <f>IF(ISNUMBER(MATCH(A601, search_page!$A:$A, 0)), "Yes", "No")</f>
        <v>Yes</v>
      </c>
    </row>
    <row r="602" spans="1:6">
      <c r="A602">
        <v>1601</v>
      </c>
      <c r="B602" s="2">
        <v>45316.019444444442</v>
      </c>
      <c r="C602" t="str">
        <f>VLOOKUP(A602, user_table!$A:$B, 2, FALSE)</f>
        <v>Male</v>
      </c>
      <c r="D602" t="str">
        <f>VLOOKUP(A602, user_table!$A:$F, 5, FALSE)</f>
        <v>Desktop</v>
      </c>
      <c r="E602" t="str">
        <f>VLOOKUP(A602, user_table!$A:$F, 6, FALSE)</f>
        <v>Paid</v>
      </c>
      <c r="F602" s="1" t="str">
        <f>IF(ISNUMBER(MATCH(A602, search_page!$A:$A, 0)), "Yes", "No")</f>
        <v>No</v>
      </c>
    </row>
    <row r="603" spans="1:6">
      <c r="A603">
        <v>1602</v>
      </c>
      <c r="B603" s="2">
        <v>45332.54791666667</v>
      </c>
      <c r="C603" t="str">
        <f>VLOOKUP(A603, user_table!$A:$B, 2, FALSE)</f>
        <v>Male</v>
      </c>
      <c r="D603" t="str">
        <f>VLOOKUP(A603, user_table!$A:$F, 5, FALSE)</f>
        <v>Desktop</v>
      </c>
      <c r="E603" t="str">
        <f>VLOOKUP(A603, user_table!$A:$F, 6, FALSE)</f>
        <v>Paid</v>
      </c>
      <c r="F603" s="1" t="str">
        <f>IF(ISNUMBER(MATCH(A603, search_page!$A:$A, 0)), "Yes", "No")</f>
        <v>Yes</v>
      </c>
    </row>
    <row r="604" spans="1:6">
      <c r="A604">
        <v>1603</v>
      </c>
      <c r="B604" s="2">
        <v>45344.925694444442</v>
      </c>
      <c r="C604" t="str">
        <f>VLOOKUP(A604, user_table!$A:$B, 2, FALSE)</f>
        <v>Male</v>
      </c>
      <c r="D604" t="str">
        <f>VLOOKUP(A604, user_table!$A:$F, 5, FALSE)</f>
        <v>Mobile</v>
      </c>
      <c r="E604" t="str">
        <f>VLOOKUP(A604, user_table!$A:$F, 6, FALSE)</f>
        <v>Social</v>
      </c>
      <c r="F604" s="1" t="str">
        <f>IF(ISNUMBER(MATCH(A604, search_page!$A:$A, 0)), "Yes", "No")</f>
        <v>Yes</v>
      </c>
    </row>
    <row r="605" spans="1:6">
      <c r="A605">
        <v>1604</v>
      </c>
      <c r="B605" s="2">
        <v>45344.700694444444</v>
      </c>
      <c r="C605" t="str">
        <f>VLOOKUP(A605, user_table!$A:$B, 2, FALSE)</f>
        <v>Male</v>
      </c>
      <c r="D605" t="str">
        <f>VLOOKUP(A605, user_table!$A:$F, 5, FALSE)</f>
        <v>Desktop</v>
      </c>
      <c r="E605" t="str">
        <f>VLOOKUP(A605, user_table!$A:$F, 6, FALSE)</f>
        <v>Paid</v>
      </c>
      <c r="F605" s="1" t="str">
        <f>IF(ISNUMBER(MATCH(A605, search_page!$A:$A, 0)), "Yes", "No")</f>
        <v>Yes</v>
      </c>
    </row>
    <row r="606" spans="1:6">
      <c r="A606">
        <v>1605</v>
      </c>
      <c r="B606" s="2">
        <v>45370.663194444445</v>
      </c>
      <c r="C606" t="str">
        <f>VLOOKUP(A606, user_table!$A:$B, 2, FALSE)</f>
        <v>Male</v>
      </c>
      <c r="D606" t="str">
        <f>VLOOKUP(A606, user_table!$A:$F, 5, FALSE)</f>
        <v>Desktop</v>
      </c>
      <c r="E606" t="str">
        <f>VLOOKUP(A606, user_table!$A:$F, 6, FALSE)</f>
        <v>Social</v>
      </c>
      <c r="F606" s="1" t="str">
        <f>IF(ISNUMBER(MATCH(A606, search_page!$A:$A, 0)), "Yes", "No")</f>
        <v>Yes</v>
      </c>
    </row>
    <row r="607" spans="1:6">
      <c r="A607">
        <v>1606</v>
      </c>
      <c r="B607" s="2">
        <v>45299.922222222223</v>
      </c>
      <c r="C607" t="str">
        <f>VLOOKUP(A607, user_table!$A:$B, 2, FALSE)</f>
        <v>Male</v>
      </c>
      <c r="D607" t="str">
        <f>VLOOKUP(A607, user_table!$A:$F, 5, FALSE)</f>
        <v>Mobile</v>
      </c>
      <c r="E607" t="str">
        <f>VLOOKUP(A607, user_table!$A:$F, 6, FALSE)</f>
        <v>Organic</v>
      </c>
      <c r="F607" s="1" t="str">
        <f>IF(ISNUMBER(MATCH(A607, search_page!$A:$A, 0)), "Yes", "No")</f>
        <v>No</v>
      </c>
    </row>
    <row r="608" spans="1:6">
      <c r="A608">
        <v>1607</v>
      </c>
      <c r="B608" s="2">
        <v>45358.274305555555</v>
      </c>
      <c r="C608" t="str">
        <f>VLOOKUP(A608, user_table!$A:$B, 2, FALSE)</f>
        <v>Male</v>
      </c>
      <c r="D608" t="str">
        <f>VLOOKUP(A608, user_table!$A:$F, 5, FALSE)</f>
        <v>Mobile</v>
      </c>
      <c r="E608" t="str">
        <f>VLOOKUP(A608, user_table!$A:$F, 6, FALSE)</f>
        <v>Email</v>
      </c>
      <c r="F608" s="1" t="str">
        <f>IF(ISNUMBER(MATCH(A608, search_page!$A:$A, 0)), "Yes", "No")</f>
        <v>No</v>
      </c>
    </row>
    <row r="609" spans="1:6">
      <c r="A609">
        <v>1608</v>
      </c>
      <c r="B609" s="2">
        <v>45333.895833333336</v>
      </c>
      <c r="C609" t="str">
        <f>VLOOKUP(A609, user_table!$A:$B, 2, FALSE)</f>
        <v>Male</v>
      </c>
      <c r="D609" t="str">
        <f>VLOOKUP(A609, user_table!$A:$F, 5, FALSE)</f>
        <v>Mobile</v>
      </c>
      <c r="E609" t="str">
        <f>VLOOKUP(A609, user_table!$A:$F, 6, FALSE)</f>
        <v>Direct</v>
      </c>
      <c r="F609" s="1" t="str">
        <f>IF(ISNUMBER(MATCH(A609, search_page!$A:$A, 0)), "Yes", "No")</f>
        <v>No</v>
      </c>
    </row>
    <row r="610" spans="1:6">
      <c r="A610">
        <v>1609</v>
      </c>
      <c r="B610" s="2">
        <v>45359.513888888891</v>
      </c>
      <c r="C610" t="str">
        <f>VLOOKUP(A610, user_table!$A:$B, 2, FALSE)</f>
        <v>Male</v>
      </c>
      <c r="D610" t="str">
        <f>VLOOKUP(A610, user_table!$A:$F, 5, FALSE)</f>
        <v>Desktop</v>
      </c>
      <c r="E610" t="str">
        <f>VLOOKUP(A610, user_table!$A:$F, 6, FALSE)</f>
        <v>Social</v>
      </c>
      <c r="F610" s="1" t="str">
        <f>IF(ISNUMBER(MATCH(A610, search_page!$A:$A, 0)), "Yes", "No")</f>
        <v>Yes</v>
      </c>
    </row>
    <row r="611" spans="1:6">
      <c r="A611">
        <v>1610</v>
      </c>
      <c r="B611" s="2">
        <v>45314.623611111114</v>
      </c>
      <c r="C611" t="str">
        <f>VLOOKUP(A611, user_table!$A:$B, 2, FALSE)</f>
        <v>Female</v>
      </c>
      <c r="D611" t="str">
        <f>VLOOKUP(A611, user_table!$A:$F, 5, FALSE)</f>
        <v>Desktop</v>
      </c>
      <c r="E611" t="str">
        <f>VLOOKUP(A611, user_table!$A:$F, 6, FALSE)</f>
        <v>Direct</v>
      </c>
      <c r="F611" s="1" t="str">
        <f>IF(ISNUMBER(MATCH(A611, search_page!$A:$A, 0)), "Yes", "No")</f>
        <v>Yes</v>
      </c>
    </row>
    <row r="612" spans="1:6">
      <c r="A612">
        <v>1611</v>
      </c>
      <c r="B612" s="2">
        <v>45360.44027777778</v>
      </c>
      <c r="C612" t="str">
        <f>VLOOKUP(A612, user_table!$A:$B, 2, FALSE)</f>
        <v>Male</v>
      </c>
      <c r="D612" t="str">
        <f>VLOOKUP(A612, user_table!$A:$F, 5, FALSE)</f>
        <v>Mobile</v>
      </c>
      <c r="E612" t="str">
        <f>VLOOKUP(A612, user_table!$A:$F, 6, FALSE)</f>
        <v>Organic</v>
      </c>
      <c r="F612" s="1" t="str">
        <f>IF(ISNUMBER(MATCH(A612, search_page!$A:$A, 0)), "Yes", "No")</f>
        <v>Yes</v>
      </c>
    </row>
    <row r="613" spans="1:6">
      <c r="A613">
        <v>1612</v>
      </c>
      <c r="B613" s="2">
        <v>45337.90902777778</v>
      </c>
      <c r="C613" t="str">
        <f>VLOOKUP(A613, user_table!$A:$B, 2, FALSE)</f>
        <v>Female</v>
      </c>
      <c r="D613" t="str">
        <f>VLOOKUP(A613, user_table!$A:$F, 5, FALSE)</f>
        <v>Mobile</v>
      </c>
      <c r="E613" t="str">
        <f>VLOOKUP(A613, user_table!$A:$F, 6, FALSE)</f>
        <v>Paid</v>
      </c>
      <c r="F613" s="1" t="str">
        <f>IF(ISNUMBER(MATCH(A613, search_page!$A:$A, 0)), "Yes", "No")</f>
        <v>No</v>
      </c>
    </row>
    <row r="614" spans="1:6">
      <c r="A614">
        <v>1613</v>
      </c>
      <c r="B614" s="2">
        <v>45379.868750000001</v>
      </c>
      <c r="C614" t="str">
        <f>VLOOKUP(A614, user_table!$A:$B, 2, FALSE)</f>
        <v>Female</v>
      </c>
      <c r="D614" t="str">
        <f>VLOOKUP(A614, user_table!$A:$F, 5, FALSE)</f>
        <v>Mobile</v>
      </c>
      <c r="E614" t="str">
        <f>VLOOKUP(A614, user_table!$A:$F, 6, FALSE)</f>
        <v>Social</v>
      </c>
      <c r="F614" s="1" t="str">
        <f>IF(ISNUMBER(MATCH(A614, search_page!$A:$A, 0)), "Yes", "No")</f>
        <v>No</v>
      </c>
    </row>
    <row r="615" spans="1:6">
      <c r="A615">
        <v>1614</v>
      </c>
      <c r="B615" s="2">
        <v>45380.36041666667</v>
      </c>
      <c r="C615" t="str">
        <f>VLOOKUP(A615, user_table!$A:$B, 2, FALSE)</f>
        <v>Male</v>
      </c>
      <c r="D615" t="str">
        <f>VLOOKUP(A615, user_table!$A:$F, 5, FALSE)</f>
        <v>Mobile</v>
      </c>
      <c r="E615" t="str">
        <f>VLOOKUP(A615, user_table!$A:$F, 6, FALSE)</f>
        <v>Social</v>
      </c>
      <c r="F615" s="1" t="str">
        <f>IF(ISNUMBER(MATCH(A615, search_page!$A:$A, 0)), "Yes", "No")</f>
        <v>Yes</v>
      </c>
    </row>
    <row r="616" spans="1:6">
      <c r="A616">
        <v>1615</v>
      </c>
      <c r="B616" s="2">
        <v>45353.260416666664</v>
      </c>
      <c r="C616" t="str">
        <f>VLOOKUP(A616, user_table!$A:$B, 2, FALSE)</f>
        <v>Female</v>
      </c>
      <c r="D616" t="str">
        <f>VLOOKUP(A616, user_table!$A:$F, 5, FALSE)</f>
        <v>Mobile</v>
      </c>
      <c r="E616" t="str">
        <f>VLOOKUP(A616, user_table!$A:$F, 6, FALSE)</f>
        <v>Paid</v>
      </c>
      <c r="F616" s="1" t="str">
        <f>IF(ISNUMBER(MATCH(A616, search_page!$A:$A, 0)), "Yes", "No")</f>
        <v>No</v>
      </c>
    </row>
    <row r="617" spans="1:6">
      <c r="A617">
        <v>1616</v>
      </c>
      <c r="B617" s="2">
        <v>45327.72152777778</v>
      </c>
      <c r="C617" t="str">
        <f>VLOOKUP(A617, user_table!$A:$B, 2, FALSE)</f>
        <v>Female</v>
      </c>
      <c r="D617" t="str">
        <f>VLOOKUP(A617, user_table!$A:$F, 5, FALSE)</f>
        <v>Desktop</v>
      </c>
      <c r="E617" t="str">
        <f>VLOOKUP(A617, user_table!$A:$F, 6, FALSE)</f>
        <v>Paid</v>
      </c>
      <c r="F617" s="1" t="str">
        <f>IF(ISNUMBER(MATCH(A617, search_page!$A:$A, 0)), "Yes", "No")</f>
        <v>No</v>
      </c>
    </row>
    <row r="618" spans="1:6">
      <c r="A618">
        <v>1617</v>
      </c>
      <c r="B618" s="2">
        <v>45320.40902777778</v>
      </c>
      <c r="C618" t="str">
        <f>VLOOKUP(A618, user_table!$A:$B, 2, FALSE)</f>
        <v>Male</v>
      </c>
      <c r="D618" t="str">
        <f>VLOOKUP(A618, user_table!$A:$F, 5, FALSE)</f>
        <v>Desktop</v>
      </c>
      <c r="E618" t="str">
        <f>VLOOKUP(A618, user_table!$A:$F, 6, FALSE)</f>
        <v>Organic</v>
      </c>
      <c r="F618" s="1" t="str">
        <f>IF(ISNUMBER(MATCH(A618, search_page!$A:$A, 0)), "Yes", "No")</f>
        <v>Yes</v>
      </c>
    </row>
    <row r="619" spans="1:6">
      <c r="A619">
        <v>1618</v>
      </c>
      <c r="B619" s="2">
        <v>45328.925694444442</v>
      </c>
      <c r="C619" t="str">
        <f>VLOOKUP(A619, user_table!$A:$B, 2, FALSE)</f>
        <v>Male</v>
      </c>
      <c r="D619" t="str">
        <f>VLOOKUP(A619, user_table!$A:$F, 5, FALSE)</f>
        <v>Mobile</v>
      </c>
      <c r="E619" t="str">
        <f>VLOOKUP(A619, user_table!$A:$F, 6, FALSE)</f>
        <v>Paid</v>
      </c>
      <c r="F619" s="1" t="str">
        <f>IF(ISNUMBER(MATCH(A619, search_page!$A:$A, 0)), "Yes", "No")</f>
        <v>No</v>
      </c>
    </row>
    <row r="620" spans="1:6">
      <c r="A620">
        <v>1619</v>
      </c>
      <c r="B620" s="2">
        <v>45380.938194444447</v>
      </c>
      <c r="C620" t="str">
        <f>VLOOKUP(A620, user_table!$A:$B, 2, FALSE)</f>
        <v>Female</v>
      </c>
      <c r="D620" t="str">
        <f>VLOOKUP(A620, user_table!$A:$F, 5, FALSE)</f>
        <v>Desktop</v>
      </c>
      <c r="E620" t="str">
        <f>VLOOKUP(A620, user_table!$A:$F, 6, FALSE)</f>
        <v>Organic</v>
      </c>
      <c r="F620" s="1" t="str">
        <f>IF(ISNUMBER(MATCH(A620, search_page!$A:$A, 0)), "Yes", "No")</f>
        <v>Yes</v>
      </c>
    </row>
    <row r="621" spans="1:6">
      <c r="A621">
        <v>1620</v>
      </c>
      <c r="B621" s="2">
        <v>45332.640277777777</v>
      </c>
      <c r="C621" t="str">
        <f>VLOOKUP(A621, user_table!$A:$B, 2, FALSE)</f>
        <v>Female</v>
      </c>
      <c r="D621" t="str">
        <f>VLOOKUP(A621, user_table!$A:$F, 5, FALSE)</f>
        <v>Desktop</v>
      </c>
      <c r="E621" t="str">
        <f>VLOOKUP(A621, user_table!$A:$F, 6, FALSE)</f>
        <v>Social</v>
      </c>
      <c r="F621" s="1" t="str">
        <f>IF(ISNUMBER(MATCH(A621, search_page!$A:$A, 0)), "Yes", "No")</f>
        <v>Yes</v>
      </c>
    </row>
    <row r="622" spans="1:6">
      <c r="A622">
        <v>1621</v>
      </c>
      <c r="B622" s="2">
        <v>45363.970138888886</v>
      </c>
      <c r="C622" t="str">
        <f>VLOOKUP(A622, user_table!$A:$B, 2, FALSE)</f>
        <v>Male</v>
      </c>
      <c r="D622" t="str">
        <f>VLOOKUP(A622, user_table!$A:$F, 5, FALSE)</f>
        <v>Tablet</v>
      </c>
      <c r="E622" t="str">
        <f>VLOOKUP(A622, user_table!$A:$F, 6, FALSE)</f>
        <v>Organic</v>
      </c>
      <c r="F622" s="1" t="str">
        <f>IF(ISNUMBER(MATCH(A622, search_page!$A:$A, 0)), "Yes", "No")</f>
        <v>Yes</v>
      </c>
    </row>
    <row r="623" spans="1:6">
      <c r="A623">
        <v>1622</v>
      </c>
      <c r="B623" s="2">
        <v>45328.15</v>
      </c>
      <c r="C623" t="str">
        <f>VLOOKUP(A623, user_table!$A:$B, 2, FALSE)</f>
        <v>Male</v>
      </c>
      <c r="D623" t="str">
        <f>VLOOKUP(A623, user_table!$A:$F, 5, FALSE)</f>
        <v>Tablet</v>
      </c>
      <c r="E623" t="str">
        <f>VLOOKUP(A623, user_table!$A:$F, 6, FALSE)</f>
        <v>Organic</v>
      </c>
      <c r="F623" s="1" t="str">
        <f>IF(ISNUMBER(MATCH(A623, search_page!$A:$A, 0)), "Yes", "No")</f>
        <v>Yes</v>
      </c>
    </row>
    <row r="624" spans="1:6">
      <c r="A624">
        <v>1623</v>
      </c>
      <c r="B624" s="2">
        <v>45378.724999999999</v>
      </c>
      <c r="C624" t="str">
        <f>VLOOKUP(A624, user_table!$A:$B, 2, FALSE)</f>
        <v>Male</v>
      </c>
      <c r="D624" t="str">
        <f>VLOOKUP(A624, user_table!$A:$F, 5, FALSE)</f>
        <v>Desktop</v>
      </c>
      <c r="E624" t="str">
        <f>VLOOKUP(A624, user_table!$A:$F, 6, FALSE)</f>
        <v>Social</v>
      </c>
      <c r="F624" s="1" t="str">
        <f>IF(ISNUMBER(MATCH(A624, search_page!$A:$A, 0)), "Yes", "No")</f>
        <v>No</v>
      </c>
    </row>
    <row r="625" spans="1:6">
      <c r="A625">
        <v>1624</v>
      </c>
      <c r="B625" s="2">
        <v>45342.492361111108</v>
      </c>
      <c r="C625" t="str">
        <f>VLOOKUP(A625, user_table!$A:$B, 2, FALSE)</f>
        <v>Male</v>
      </c>
      <c r="D625" t="str">
        <f>VLOOKUP(A625, user_table!$A:$F, 5, FALSE)</f>
        <v>Desktop</v>
      </c>
      <c r="E625" t="str">
        <f>VLOOKUP(A625, user_table!$A:$F, 6, FALSE)</f>
        <v>Social</v>
      </c>
      <c r="F625" s="1" t="str">
        <f>IF(ISNUMBER(MATCH(A625, search_page!$A:$A, 0)), "Yes", "No")</f>
        <v>Yes</v>
      </c>
    </row>
    <row r="626" spans="1:6">
      <c r="A626">
        <v>1625</v>
      </c>
      <c r="B626" s="2">
        <v>45310.376388888886</v>
      </c>
      <c r="C626" t="str">
        <f>VLOOKUP(A626, user_table!$A:$B, 2, FALSE)</f>
        <v>Female</v>
      </c>
      <c r="D626" t="str">
        <f>VLOOKUP(A626, user_table!$A:$F, 5, FALSE)</f>
        <v>Desktop</v>
      </c>
      <c r="E626" t="str">
        <f>VLOOKUP(A626, user_table!$A:$F, 6, FALSE)</f>
        <v>Email</v>
      </c>
      <c r="F626" s="1" t="str">
        <f>IF(ISNUMBER(MATCH(A626, search_page!$A:$A, 0)), "Yes", "No")</f>
        <v>No</v>
      </c>
    </row>
    <row r="627" spans="1:6">
      <c r="A627">
        <v>1626</v>
      </c>
      <c r="B627" s="2">
        <v>45328.920138888891</v>
      </c>
      <c r="C627" t="str">
        <f>VLOOKUP(A627, user_table!$A:$B, 2, FALSE)</f>
        <v>Male</v>
      </c>
      <c r="D627" t="str">
        <f>VLOOKUP(A627, user_table!$A:$F, 5, FALSE)</f>
        <v>Mobile</v>
      </c>
      <c r="E627" t="str">
        <f>VLOOKUP(A627, user_table!$A:$F, 6, FALSE)</f>
        <v>Social</v>
      </c>
      <c r="F627" s="1" t="str">
        <f>IF(ISNUMBER(MATCH(A627, search_page!$A:$A, 0)), "Yes", "No")</f>
        <v>No</v>
      </c>
    </row>
    <row r="628" spans="1:6">
      <c r="A628">
        <v>1627</v>
      </c>
      <c r="B628" s="2">
        <v>45336.611805555556</v>
      </c>
      <c r="C628" t="str">
        <f>VLOOKUP(A628, user_table!$A:$B, 2, FALSE)</f>
        <v>Male</v>
      </c>
      <c r="D628" t="str">
        <f>VLOOKUP(A628, user_table!$A:$F, 5, FALSE)</f>
        <v>Tablet</v>
      </c>
      <c r="E628" t="str">
        <f>VLOOKUP(A628, user_table!$A:$F, 6, FALSE)</f>
        <v>Paid</v>
      </c>
      <c r="F628" s="1" t="str">
        <f>IF(ISNUMBER(MATCH(A628, search_page!$A:$A, 0)), "Yes", "No")</f>
        <v>No</v>
      </c>
    </row>
    <row r="629" spans="1:6">
      <c r="A629">
        <v>1628</v>
      </c>
      <c r="B629" s="2">
        <v>45324.979166666664</v>
      </c>
      <c r="C629" t="str">
        <f>VLOOKUP(A629, user_table!$A:$B, 2, FALSE)</f>
        <v>Female</v>
      </c>
      <c r="D629" t="str">
        <f>VLOOKUP(A629, user_table!$A:$F, 5, FALSE)</f>
        <v>Desktop</v>
      </c>
      <c r="E629" t="str">
        <f>VLOOKUP(A629, user_table!$A:$F, 6, FALSE)</f>
        <v>Email</v>
      </c>
      <c r="F629" s="1" t="str">
        <f>IF(ISNUMBER(MATCH(A629, search_page!$A:$A, 0)), "Yes", "No")</f>
        <v>No</v>
      </c>
    </row>
    <row r="630" spans="1:6">
      <c r="A630">
        <v>1629</v>
      </c>
      <c r="B630" s="2">
        <v>45319.286111111112</v>
      </c>
      <c r="C630" t="str">
        <f>VLOOKUP(A630, user_table!$A:$B, 2, FALSE)</f>
        <v>Male</v>
      </c>
      <c r="D630" t="str">
        <f>VLOOKUP(A630, user_table!$A:$F, 5, FALSE)</f>
        <v>Desktop</v>
      </c>
      <c r="E630" t="str">
        <f>VLOOKUP(A630, user_table!$A:$F, 6, FALSE)</f>
        <v>Paid</v>
      </c>
      <c r="F630" s="1" t="str">
        <f>IF(ISNUMBER(MATCH(A630, search_page!$A:$A, 0)), "Yes", "No")</f>
        <v>No</v>
      </c>
    </row>
    <row r="631" spans="1:6">
      <c r="A631">
        <v>1630</v>
      </c>
      <c r="B631" s="2">
        <v>45360.374305555553</v>
      </c>
      <c r="C631" t="str">
        <f>VLOOKUP(A631, user_table!$A:$B, 2, FALSE)</f>
        <v>Male</v>
      </c>
      <c r="D631" t="str">
        <f>VLOOKUP(A631, user_table!$A:$F, 5, FALSE)</f>
        <v>Tablet</v>
      </c>
      <c r="E631" t="str">
        <f>VLOOKUP(A631, user_table!$A:$F, 6, FALSE)</f>
        <v>Organic</v>
      </c>
      <c r="F631" s="1" t="str">
        <f>IF(ISNUMBER(MATCH(A631, search_page!$A:$A, 0)), "Yes", "No")</f>
        <v>Yes</v>
      </c>
    </row>
    <row r="632" spans="1:6">
      <c r="A632">
        <v>1631</v>
      </c>
      <c r="B632" s="2">
        <v>45363.928472222222</v>
      </c>
      <c r="C632" t="str">
        <f>VLOOKUP(A632, user_table!$A:$B, 2, FALSE)</f>
        <v>Female</v>
      </c>
      <c r="D632" t="str">
        <f>VLOOKUP(A632, user_table!$A:$F, 5, FALSE)</f>
        <v>Desktop</v>
      </c>
      <c r="E632" t="str">
        <f>VLOOKUP(A632, user_table!$A:$F, 6, FALSE)</f>
        <v>Social</v>
      </c>
      <c r="F632" s="1" t="str">
        <f>IF(ISNUMBER(MATCH(A632, search_page!$A:$A, 0)), "Yes", "No")</f>
        <v>No</v>
      </c>
    </row>
    <row r="633" spans="1:6">
      <c r="A633">
        <v>1632</v>
      </c>
      <c r="B633" s="2">
        <v>45309.152083333334</v>
      </c>
      <c r="C633" t="str">
        <f>VLOOKUP(A633, user_table!$A:$B, 2, FALSE)</f>
        <v>Female</v>
      </c>
      <c r="D633" t="str">
        <f>VLOOKUP(A633, user_table!$A:$F, 5, FALSE)</f>
        <v>Mobile</v>
      </c>
      <c r="E633" t="str">
        <f>VLOOKUP(A633, user_table!$A:$F, 6, FALSE)</f>
        <v>Direct</v>
      </c>
      <c r="F633" s="1" t="str">
        <f>IF(ISNUMBER(MATCH(A633, search_page!$A:$A, 0)), "Yes", "No")</f>
        <v>No</v>
      </c>
    </row>
    <row r="634" spans="1:6">
      <c r="A634">
        <v>1633</v>
      </c>
      <c r="B634" s="2">
        <v>45367.302083333336</v>
      </c>
      <c r="C634" t="str">
        <f>VLOOKUP(A634, user_table!$A:$B, 2, FALSE)</f>
        <v>Male</v>
      </c>
      <c r="D634" t="str">
        <f>VLOOKUP(A634, user_table!$A:$F, 5, FALSE)</f>
        <v>Tablet</v>
      </c>
      <c r="E634" t="str">
        <f>VLOOKUP(A634, user_table!$A:$F, 6, FALSE)</f>
        <v>Paid</v>
      </c>
      <c r="F634" s="1" t="str">
        <f>IF(ISNUMBER(MATCH(A634, search_page!$A:$A, 0)), "Yes", "No")</f>
        <v>No</v>
      </c>
    </row>
    <row r="635" spans="1:6">
      <c r="A635">
        <v>1634</v>
      </c>
      <c r="B635" s="2">
        <v>45298.914583333331</v>
      </c>
      <c r="C635" t="str">
        <f>VLOOKUP(A635, user_table!$A:$B, 2, FALSE)</f>
        <v>Female</v>
      </c>
      <c r="D635" t="str">
        <f>VLOOKUP(A635, user_table!$A:$F, 5, FALSE)</f>
        <v>Desktop</v>
      </c>
      <c r="E635" t="str">
        <f>VLOOKUP(A635, user_table!$A:$F, 6, FALSE)</f>
        <v>Organic</v>
      </c>
      <c r="F635" s="1" t="str">
        <f>IF(ISNUMBER(MATCH(A635, search_page!$A:$A, 0)), "Yes", "No")</f>
        <v>Yes</v>
      </c>
    </row>
    <row r="636" spans="1:6">
      <c r="A636">
        <v>1635</v>
      </c>
      <c r="B636" s="2">
        <v>45359.319444444445</v>
      </c>
      <c r="C636" t="str">
        <f>VLOOKUP(A636, user_table!$A:$B, 2, FALSE)</f>
        <v>Male</v>
      </c>
      <c r="D636" t="str">
        <f>VLOOKUP(A636, user_table!$A:$F, 5, FALSE)</f>
        <v>Mobile</v>
      </c>
      <c r="E636" t="str">
        <f>VLOOKUP(A636, user_table!$A:$F, 6, FALSE)</f>
        <v>Organic</v>
      </c>
      <c r="F636" s="1" t="str">
        <f>IF(ISNUMBER(MATCH(A636, search_page!$A:$A, 0)), "Yes", "No")</f>
        <v>Yes</v>
      </c>
    </row>
    <row r="637" spans="1:6">
      <c r="A637">
        <v>1636</v>
      </c>
      <c r="B637" s="2">
        <v>45321.04583333333</v>
      </c>
      <c r="C637" t="str">
        <f>VLOOKUP(A637, user_table!$A:$B, 2, FALSE)</f>
        <v>Male</v>
      </c>
      <c r="D637" t="str">
        <f>VLOOKUP(A637, user_table!$A:$F, 5, FALSE)</f>
        <v>Desktop</v>
      </c>
      <c r="E637" t="str">
        <f>VLOOKUP(A637, user_table!$A:$F, 6, FALSE)</f>
        <v>Organic</v>
      </c>
      <c r="F637" s="1" t="str">
        <f>IF(ISNUMBER(MATCH(A637, search_page!$A:$A, 0)), "Yes", "No")</f>
        <v>No</v>
      </c>
    </row>
    <row r="638" spans="1:6">
      <c r="A638">
        <v>1637</v>
      </c>
      <c r="B638" s="2">
        <v>45344.447916666664</v>
      </c>
      <c r="C638" t="str">
        <f>VLOOKUP(A638, user_table!$A:$B, 2, FALSE)</f>
        <v>Female</v>
      </c>
      <c r="D638" t="str">
        <f>VLOOKUP(A638, user_table!$A:$F, 5, FALSE)</f>
        <v>Desktop</v>
      </c>
      <c r="E638" t="str">
        <f>VLOOKUP(A638, user_table!$A:$F, 6, FALSE)</f>
        <v>Paid</v>
      </c>
      <c r="F638" s="1" t="str">
        <f>IF(ISNUMBER(MATCH(A638, search_page!$A:$A, 0)), "Yes", "No")</f>
        <v>Yes</v>
      </c>
    </row>
    <row r="639" spans="1:6">
      <c r="A639">
        <v>1638</v>
      </c>
      <c r="B639" s="2">
        <v>45352.154861111114</v>
      </c>
      <c r="C639" t="str">
        <f>VLOOKUP(A639, user_table!$A:$B, 2, FALSE)</f>
        <v>Male</v>
      </c>
      <c r="D639" t="str">
        <f>VLOOKUP(A639, user_table!$A:$F, 5, FALSE)</f>
        <v>Mobile</v>
      </c>
      <c r="E639" t="str">
        <f>VLOOKUP(A639, user_table!$A:$F, 6, FALSE)</f>
        <v>Social</v>
      </c>
      <c r="F639" s="1" t="str">
        <f>IF(ISNUMBER(MATCH(A639, search_page!$A:$A, 0)), "Yes", "No")</f>
        <v>No</v>
      </c>
    </row>
    <row r="640" spans="1:6">
      <c r="A640">
        <v>1639</v>
      </c>
      <c r="B640" s="2">
        <v>45309.024305555555</v>
      </c>
      <c r="C640" t="str">
        <f>VLOOKUP(A640, user_table!$A:$B, 2, FALSE)</f>
        <v>Male</v>
      </c>
      <c r="D640" t="str">
        <f>VLOOKUP(A640, user_table!$A:$F, 5, FALSE)</f>
        <v>Desktop</v>
      </c>
      <c r="E640" t="str">
        <f>VLOOKUP(A640, user_table!$A:$F, 6, FALSE)</f>
        <v>Organic</v>
      </c>
      <c r="F640" s="1" t="str">
        <f>IF(ISNUMBER(MATCH(A640, search_page!$A:$A, 0)), "Yes", "No")</f>
        <v>No</v>
      </c>
    </row>
    <row r="641" spans="1:6">
      <c r="A641">
        <v>1640</v>
      </c>
      <c r="B641" s="2">
        <v>45312.570138888892</v>
      </c>
      <c r="C641" t="str">
        <f>VLOOKUP(A641, user_table!$A:$B, 2, FALSE)</f>
        <v>Male</v>
      </c>
      <c r="D641" t="str">
        <f>VLOOKUP(A641, user_table!$A:$F, 5, FALSE)</f>
        <v>Tablet</v>
      </c>
      <c r="E641" t="str">
        <f>VLOOKUP(A641, user_table!$A:$F, 6, FALSE)</f>
        <v>Direct</v>
      </c>
      <c r="F641" s="1" t="str">
        <f>IF(ISNUMBER(MATCH(A641, search_page!$A:$A, 0)), "Yes", "No")</f>
        <v>No</v>
      </c>
    </row>
    <row r="642" spans="1:6">
      <c r="A642">
        <v>1641</v>
      </c>
      <c r="B642" s="2">
        <v>45352.65347222222</v>
      </c>
      <c r="C642" t="str">
        <f>VLOOKUP(A642, user_table!$A:$B, 2, FALSE)</f>
        <v>Male</v>
      </c>
      <c r="D642" t="str">
        <f>VLOOKUP(A642, user_table!$A:$F, 5, FALSE)</f>
        <v>Mobile</v>
      </c>
      <c r="E642" t="str">
        <f>VLOOKUP(A642, user_table!$A:$F, 6, FALSE)</f>
        <v>Email</v>
      </c>
      <c r="F642" s="1" t="str">
        <f>IF(ISNUMBER(MATCH(A642, search_page!$A:$A, 0)), "Yes", "No")</f>
        <v>Yes</v>
      </c>
    </row>
    <row r="643" spans="1:6">
      <c r="A643">
        <v>1642</v>
      </c>
      <c r="B643" s="2">
        <v>45317.388888888891</v>
      </c>
      <c r="C643" t="str">
        <f>VLOOKUP(A643, user_table!$A:$B, 2, FALSE)</f>
        <v>Male</v>
      </c>
      <c r="D643" t="str">
        <f>VLOOKUP(A643, user_table!$A:$F, 5, FALSE)</f>
        <v>Desktop</v>
      </c>
      <c r="E643" t="str">
        <f>VLOOKUP(A643, user_table!$A:$F, 6, FALSE)</f>
        <v>Social</v>
      </c>
      <c r="F643" s="1" t="str">
        <f>IF(ISNUMBER(MATCH(A643, search_page!$A:$A, 0)), "Yes", "No")</f>
        <v>Yes</v>
      </c>
    </row>
    <row r="644" spans="1:6">
      <c r="A644">
        <v>1643</v>
      </c>
      <c r="B644" s="2">
        <v>45328.835416666669</v>
      </c>
      <c r="C644" t="str">
        <f>VLOOKUP(A644, user_table!$A:$B, 2, FALSE)</f>
        <v>Male</v>
      </c>
      <c r="D644" t="str">
        <f>VLOOKUP(A644, user_table!$A:$F, 5, FALSE)</f>
        <v>Desktop</v>
      </c>
      <c r="E644" t="str">
        <f>VLOOKUP(A644, user_table!$A:$F, 6, FALSE)</f>
        <v>Email</v>
      </c>
      <c r="F644" s="1" t="str">
        <f>IF(ISNUMBER(MATCH(A644, search_page!$A:$A, 0)), "Yes", "No")</f>
        <v>Yes</v>
      </c>
    </row>
    <row r="645" spans="1:6">
      <c r="A645">
        <v>1644</v>
      </c>
      <c r="B645" s="2">
        <v>45303.85833333333</v>
      </c>
      <c r="C645" t="str">
        <f>VLOOKUP(A645, user_table!$A:$B, 2, FALSE)</f>
        <v>Male</v>
      </c>
      <c r="D645" t="str">
        <f>VLOOKUP(A645, user_table!$A:$F, 5, FALSE)</f>
        <v>Desktop</v>
      </c>
      <c r="E645" t="str">
        <f>VLOOKUP(A645, user_table!$A:$F, 6, FALSE)</f>
        <v>Organic</v>
      </c>
      <c r="F645" s="1" t="str">
        <f>IF(ISNUMBER(MATCH(A645, search_page!$A:$A, 0)), "Yes", "No")</f>
        <v>Yes</v>
      </c>
    </row>
    <row r="646" spans="1:6">
      <c r="A646">
        <v>1645</v>
      </c>
      <c r="B646" s="2">
        <v>45321.740972222222</v>
      </c>
      <c r="C646" t="str">
        <f>VLOOKUP(A646, user_table!$A:$B, 2, FALSE)</f>
        <v>Male</v>
      </c>
      <c r="D646" t="str">
        <f>VLOOKUP(A646, user_table!$A:$F, 5, FALSE)</f>
        <v>Desktop</v>
      </c>
      <c r="E646" t="str">
        <f>VLOOKUP(A646, user_table!$A:$F, 6, FALSE)</f>
        <v>Paid</v>
      </c>
      <c r="F646" s="1" t="str">
        <f>IF(ISNUMBER(MATCH(A646, search_page!$A:$A, 0)), "Yes", "No")</f>
        <v>No</v>
      </c>
    </row>
    <row r="647" spans="1:6">
      <c r="A647">
        <v>1646</v>
      </c>
      <c r="B647" s="2">
        <v>45296.226388888892</v>
      </c>
      <c r="C647" t="str">
        <f>VLOOKUP(A647, user_table!$A:$B, 2, FALSE)</f>
        <v>Female</v>
      </c>
      <c r="D647" t="str">
        <f>VLOOKUP(A647, user_table!$A:$F, 5, FALSE)</f>
        <v>Desktop</v>
      </c>
      <c r="E647" t="str">
        <f>VLOOKUP(A647, user_table!$A:$F, 6, FALSE)</f>
        <v>Social</v>
      </c>
      <c r="F647" s="1" t="str">
        <f>IF(ISNUMBER(MATCH(A647, search_page!$A:$A, 0)), "Yes", "No")</f>
        <v>Yes</v>
      </c>
    </row>
    <row r="648" spans="1:6">
      <c r="A648">
        <v>1647</v>
      </c>
      <c r="B648" s="2">
        <v>45314.078472222223</v>
      </c>
      <c r="C648" t="str">
        <f>VLOOKUP(A648, user_table!$A:$B, 2, FALSE)</f>
        <v>Female</v>
      </c>
      <c r="D648" t="str">
        <f>VLOOKUP(A648, user_table!$A:$F, 5, FALSE)</f>
        <v>Desktop</v>
      </c>
      <c r="E648" t="str">
        <f>VLOOKUP(A648, user_table!$A:$F, 6, FALSE)</f>
        <v>Email</v>
      </c>
      <c r="F648" s="1" t="str">
        <f>IF(ISNUMBER(MATCH(A648, search_page!$A:$A, 0)), "Yes", "No")</f>
        <v>Yes</v>
      </c>
    </row>
    <row r="649" spans="1:6">
      <c r="A649">
        <v>1648</v>
      </c>
      <c r="B649" s="2">
        <v>45342.632638888892</v>
      </c>
      <c r="C649" t="str">
        <f>VLOOKUP(A649, user_table!$A:$B, 2, FALSE)</f>
        <v>Female</v>
      </c>
      <c r="D649" t="str">
        <f>VLOOKUP(A649, user_table!$A:$F, 5, FALSE)</f>
        <v>Desktop</v>
      </c>
      <c r="E649" t="str">
        <f>VLOOKUP(A649, user_table!$A:$F, 6, FALSE)</f>
        <v>Email</v>
      </c>
      <c r="F649" s="1" t="str">
        <f>IF(ISNUMBER(MATCH(A649, search_page!$A:$A, 0)), "Yes", "No")</f>
        <v>No</v>
      </c>
    </row>
    <row r="650" spans="1:6">
      <c r="A650">
        <v>1649</v>
      </c>
      <c r="B650" s="2">
        <v>45329.041666666664</v>
      </c>
      <c r="C650" t="str">
        <f>VLOOKUP(A650, user_table!$A:$B, 2, FALSE)</f>
        <v>Female</v>
      </c>
      <c r="D650" t="str">
        <f>VLOOKUP(A650, user_table!$A:$F, 5, FALSE)</f>
        <v>Mobile</v>
      </c>
      <c r="E650" t="str">
        <f>VLOOKUP(A650, user_table!$A:$F, 6, FALSE)</f>
        <v>Organic</v>
      </c>
      <c r="F650" s="1" t="str">
        <f>IF(ISNUMBER(MATCH(A650, search_page!$A:$A, 0)), "Yes", "No")</f>
        <v>No</v>
      </c>
    </row>
    <row r="651" spans="1:6">
      <c r="A651">
        <v>1650</v>
      </c>
      <c r="B651" s="2">
        <v>45330.776388888888</v>
      </c>
      <c r="C651" t="str">
        <f>VLOOKUP(A651, user_table!$A:$B, 2, FALSE)</f>
        <v>Male</v>
      </c>
      <c r="D651" t="str">
        <f>VLOOKUP(A651, user_table!$A:$F, 5, FALSE)</f>
        <v>Mobile</v>
      </c>
      <c r="E651" t="str">
        <f>VLOOKUP(A651, user_table!$A:$F, 6, FALSE)</f>
        <v>Direct</v>
      </c>
      <c r="F651" s="1" t="str">
        <f>IF(ISNUMBER(MATCH(A651, search_page!$A:$A, 0)), "Yes", "No")</f>
        <v>Yes</v>
      </c>
    </row>
    <row r="652" spans="1:6">
      <c r="A652">
        <v>1651</v>
      </c>
      <c r="B652" s="2">
        <v>45305.429166666669</v>
      </c>
      <c r="C652" t="str">
        <f>VLOOKUP(A652, user_table!$A:$B, 2, FALSE)</f>
        <v>Male</v>
      </c>
      <c r="D652" t="str">
        <f>VLOOKUP(A652, user_table!$A:$F, 5, FALSE)</f>
        <v>Mobile</v>
      </c>
      <c r="E652" t="str">
        <f>VLOOKUP(A652, user_table!$A:$F, 6, FALSE)</f>
        <v>Organic</v>
      </c>
      <c r="F652" s="1" t="str">
        <f>IF(ISNUMBER(MATCH(A652, search_page!$A:$A, 0)), "Yes", "No")</f>
        <v>Yes</v>
      </c>
    </row>
    <row r="653" spans="1:6">
      <c r="A653">
        <v>1652</v>
      </c>
      <c r="B653" s="2">
        <v>45350.856944444444</v>
      </c>
      <c r="C653" t="str">
        <f>VLOOKUP(A653, user_table!$A:$B, 2, FALSE)</f>
        <v>Female</v>
      </c>
      <c r="D653" t="str">
        <f>VLOOKUP(A653, user_table!$A:$F, 5, FALSE)</f>
        <v>Desktop</v>
      </c>
      <c r="E653" t="str">
        <f>VLOOKUP(A653, user_table!$A:$F, 6, FALSE)</f>
        <v>Email</v>
      </c>
      <c r="F653" s="1" t="str">
        <f>IF(ISNUMBER(MATCH(A653, search_page!$A:$A, 0)), "Yes", "No")</f>
        <v>Yes</v>
      </c>
    </row>
    <row r="654" spans="1:6">
      <c r="A654">
        <v>1653</v>
      </c>
      <c r="B654" s="2">
        <v>45359.663888888892</v>
      </c>
      <c r="C654" t="str">
        <f>VLOOKUP(A654, user_table!$A:$B, 2, FALSE)</f>
        <v>Female</v>
      </c>
      <c r="D654" t="str">
        <f>VLOOKUP(A654, user_table!$A:$F, 5, FALSE)</f>
        <v>Desktop</v>
      </c>
      <c r="E654" t="str">
        <f>VLOOKUP(A654, user_table!$A:$F, 6, FALSE)</f>
        <v>Direct</v>
      </c>
      <c r="F654" s="1" t="str">
        <f>IF(ISNUMBER(MATCH(A654, search_page!$A:$A, 0)), "Yes", "No")</f>
        <v>Yes</v>
      </c>
    </row>
    <row r="655" spans="1:6">
      <c r="A655">
        <v>1654</v>
      </c>
      <c r="B655" s="2">
        <v>45309.686805555553</v>
      </c>
      <c r="C655" t="str">
        <f>VLOOKUP(A655, user_table!$A:$B, 2, FALSE)</f>
        <v>Female</v>
      </c>
      <c r="D655" t="str">
        <f>VLOOKUP(A655, user_table!$A:$F, 5, FALSE)</f>
        <v>Mobile</v>
      </c>
      <c r="E655" t="str">
        <f>VLOOKUP(A655, user_table!$A:$F, 6, FALSE)</f>
        <v>Organic</v>
      </c>
      <c r="F655" s="1" t="str">
        <f>IF(ISNUMBER(MATCH(A655, search_page!$A:$A, 0)), "Yes", "No")</f>
        <v>No</v>
      </c>
    </row>
    <row r="656" spans="1:6">
      <c r="A656">
        <v>1655</v>
      </c>
      <c r="B656" s="2">
        <v>45326.285416666666</v>
      </c>
      <c r="C656" t="str">
        <f>VLOOKUP(A656, user_table!$A:$B, 2, FALSE)</f>
        <v>Male</v>
      </c>
      <c r="D656" t="str">
        <f>VLOOKUP(A656, user_table!$A:$F, 5, FALSE)</f>
        <v>Desktop</v>
      </c>
      <c r="E656" t="str">
        <f>VLOOKUP(A656, user_table!$A:$F, 6, FALSE)</f>
        <v>Social</v>
      </c>
      <c r="F656" s="1" t="str">
        <f>IF(ISNUMBER(MATCH(A656, search_page!$A:$A, 0)), "Yes", "No")</f>
        <v>Yes</v>
      </c>
    </row>
    <row r="657" spans="1:6">
      <c r="A657">
        <v>1656</v>
      </c>
      <c r="B657" s="2">
        <v>45306.423611111109</v>
      </c>
      <c r="C657" t="str">
        <f>VLOOKUP(A657, user_table!$A:$B, 2, FALSE)</f>
        <v>Male</v>
      </c>
      <c r="D657" t="str">
        <f>VLOOKUP(A657, user_table!$A:$F, 5, FALSE)</f>
        <v>Desktop</v>
      </c>
      <c r="E657" t="str">
        <f>VLOOKUP(A657, user_table!$A:$F, 6, FALSE)</f>
        <v>Organic</v>
      </c>
      <c r="F657" s="1" t="str">
        <f>IF(ISNUMBER(MATCH(A657, search_page!$A:$A, 0)), "Yes", "No")</f>
        <v>Yes</v>
      </c>
    </row>
    <row r="658" spans="1:6">
      <c r="A658">
        <v>1657</v>
      </c>
      <c r="B658" s="2">
        <v>45350.844444444447</v>
      </c>
      <c r="C658" t="str">
        <f>VLOOKUP(A658, user_table!$A:$B, 2, FALSE)</f>
        <v>Male</v>
      </c>
      <c r="D658" t="str">
        <f>VLOOKUP(A658, user_table!$A:$F, 5, FALSE)</f>
        <v>Mobile</v>
      </c>
      <c r="E658" t="str">
        <f>VLOOKUP(A658, user_table!$A:$F, 6, FALSE)</f>
        <v>Paid</v>
      </c>
      <c r="F658" s="1" t="str">
        <f>IF(ISNUMBER(MATCH(A658, search_page!$A:$A, 0)), "Yes", "No")</f>
        <v>Yes</v>
      </c>
    </row>
    <row r="659" spans="1:6">
      <c r="A659">
        <v>1658</v>
      </c>
      <c r="B659" s="2">
        <v>45315.032638888886</v>
      </c>
      <c r="C659" t="str">
        <f>VLOOKUP(A659, user_table!$A:$B, 2, FALSE)</f>
        <v>Male</v>
      </c>
      <c r="D659" t="str">
        <f>VLOOKUP(A659, user_table!$A:$F, 5, FALSE)</f>
        <v>Mobile</v>
      </c>
      <c r="E659" t="str">
        <f>VLOOKUP(A659, user_table!$A:$F, 6, FALSE)</f>
        <v>Paid</v>
      </c>
      <c r="F659" s="1" t="str">
        <f>IF(ISNUMBER(MATCH(A659, search_page!$A:$A, 0)), "Yes", "No")</f>
        <v>No</v>
      </c>
    </row>
    <row r="660" spans="1:6">
      <c r="A660">
        <v>1659</v>
      </c>
      <c r="B660" s="2">
        <v>45335.4</v>
      </c>
      <c r="C660" t="str">
        <f>VLOOKUP(A660, user_table!$A:$B, 2, FALSE)</f>
        <v>Female</v>
      </c>
      <c r="D660" t="str">
        <f>VLOOKUP(A660, user_table!$A:$F, 5, FALSE)</f>
        <v>Mobile</v>
      </c>
      <c r="E660" t="str">
        <f>VLOOKUP(A660, user_table!$A:$F, 6, FALSE)</f>
        <v>Social</v>
      </c>
      <c r="F660" s="1" t="str">
        <f>IF(ISNUMBER(MATCH(A660, search_page!$A:$A, 0)), "Yes", "No")</f>
        <v>Yes</v>
      </c>
    </row>
    <row r="661" spans="1:6">
      <c r="A661">
        <v>1660</v>
      </c>
      <c r="B661" s="2">
        <v>45378.257638888892</v>
      </c>
      <c r="C661" t="str">
        <f>VLOOKUP(A661, user_table!$A:$B, 2, FALSE)</f>
        <v>Female</v>
      </c>
      <c r="D661" t="str">
        <f>VLOOKUP(A661, user_table!$A:$F, 5, FALSE)</f>
        <v>Desktop</v>
      </c>
      <c r="E661" t="str">
        <f>VLOOKUP(A661, user_table!$A:$F, 6, FALSE)</f>
        <v>Direct</v>
      </c>
      <c r="F661" s="1" t="str">
        <f>IF(ISNUMBER(MATCH(A661, search_page!$A:$A, 0)), "Yes", "No")</f>
        <v>Yes</v>
      </c>
    </row>
    <row r="662" spans="1:6">
      <c r="A662">
        <v>1661</v>
      </c>
      <c r="B662" s="2">
        <v>45370.872916666667</v>
      </c>
      <c r="C662" t="str">
        <f>VLOOKUP(A662, user_table!$A:$B, 2, FALSE)</f>
        <v>Male</v>
      </c>
      <c r="D662" t="str">
        <f>VLOOKUP(A662, user_table!$A:$F, 5, FALSE)</f>
        <v>Mobile</v>
      </c>
      <c r="E662" t="str">
        <f>VLOOKUP(A662, user_table!$A:$F, 6, FALSE)</f>
        <v>Social</v>
      </c>
      <c r="F662" s="1" t="str">
        <f>IF(ISNUMBER(MATCH(A662, search_page!$A:$A, 0)), "Yes", "No")</f>
        <v>No</v>
      </c>
    </row>
    <row r="663" spans="1:6">
      <c r="A663">
        <v>1662</v>
      </c>
      <c r="B663" s="2">
        <v>45343.563888888886</v>
      </c>
      <c r="C663" t="str">
        <f>VLOOKUP(A663, user_table!$A:$B, 2, FALSE)</f>
        <v>Female</v>
      </c>
      <c r="D663" t="str">
        <f>VLOOKUP(A663, user_table!$A:$F, 5, FALSE)</f>
        <v>Mobile</v>
      </c>
      <c r="E663" t="str">
        <f>VLOOKUP(A663, user_table!$A:$F, 6, FALSE)</f>
        <v>Paid</v>
      </c>
      <c r="F663" s="1" t="str">
        <f>IF(ISNUMBER(MATCH(A663, search_page!$A:$A, 0)), "Yes", "No")</f>
        <v>Yes</v>
      </c>
    </row>
    <row r="664" spans="1:6">
      <c r="A664">
        <v>1663</v>
      </c>
      <c r="B664" s="2">
        <v>45333.100694444445</v>
      </c>
      <c r="C664" t="str">
        <f>VLOOKUP(A664, user_table!$A:$B, 2, FALSE)</f>
        <v>Female</v>
      </c>
      <c r="D664" t="str">
        <f>VLOOKUP(A664, user_table!$A:$F, 5, FALSE)</f>
        <v>Mobile</v>
      </c>
      <c r="E664" t="str">
        <f>VLOOKUP(A664, user_table!$A:$F, 6, FALSE)</f>
        <v>Email</v>
      </c>
      <c r="F664" s="1" t="str">
        <f>IF(ISNUMBER(MATCH(A664, search_page!$A:$A, 0)), "Yes", "No")</f>
        <v>Yes</v>
      </c>
    </row>
    <row r="665" spans="1:6">
      <c r="A665">
        <v>1664</v>
      </c>
      <c r="B665" s="2">
        <v>45377.132638888892</v>
      </c>
      <c r="C665" t="str">
        <f>VLOOKUP(A665, user_table!$A:$B, 2, FALSE)</f>
        <v>Male</v>
      </c>
      <c r="D665" t="str">
        <f>VLOOKUP(A665, user_table!$A:$F, 5, FALSE)</f>
        <v>Mobile</v>
      </c>
      <c r="E665" t="str">
        <f>VLOOKUP(A665, user_table!$A:$F, 6, FALSE)</f>
        <v>Direct</v>
      </c>
      <c r="F665" s="1" t="str">
        <f>IF(ISNUMBER(MATCH(A665, search_page!$A:$A, 0)), "Yes", "No")</f>
        <v>Yes</v>
      </c>
    </row>
    <row r="666" spans="1:6">
      <c r="A666">
        <v>1665</v>
      </c>
      <c r="B666" s="2">
        <v>45309.638888888891</v>
      </c>
      <c r="C666" t="str">
        <f>VLOOKUP(A666, user_table!$A:$B, 2, FALSE)</f>
        <v>Male</v>
      </c>
      <c r="D666" t="str">
        <f>VLOOKUP(A666, user_table!$A:$F, 5, FALSE)</f>
        <v>Mobile</v>
      </c>
      <c r="E666" t="str">
        <f>VLOOKUP(A666, user_table!$A:$F, 6, FALSE)</f>
        <v>Organic</v>
      </c>
      <c r="F666" s="1" t="str">
        <f>IF(ISNUMBER(MATCH(A666, search_page!$A:$A, 0)), "Yes", "No")</f>
        <v>No</v>
      </c>
    </row>
    <row r="667" spans="1:6">
      <c r="A667">
        <v>1666</v>
      </c>
      <c r="B667" s="2">
        <v>45323.011111111111</v>
      </c>
      <c r="C667" t="str">
        <f>VLOOKUP(A667, user_table!$A:$B, 2, FALSE)</f>
        <v>Male</v>
      </c>
      <c r="D667" t="str">
        <f>VLOOKUP(A667, user_table!$A:$F, 5, FALSE)</f>
        <v>Mobile</v>
      </c>
      <c r="E667" t="str">
        <f>VLOOKUP(A667, user_table!$A:$F, 6, FALSE)</f>
        <v>Direct</v>
      </c>
      <c r="F667" s="1" t="str">
        <f>IF(ISNUMBER(MATCH(A667, search_page!$A:$A, 0)), "Yes", "No")</f>
        <v>Yes</v>
      </c>
    </row>
    <row r="668" spans="1:6">
      <c r="A668">
        <v>1667</v>
      </c>
      <c r="B668" s="2">
        <v>45341.311111111114</v>
      </c>
      <c r="C668" t="str">
        <f>VLOOKUP(A668, user_table!$A:$B, 2, FALSE)</f>
        <v>Male</v>
      </c>
      <c r="D668" t="str">
        <f>VLOOKUP(A668, user_table!$A:$F, 5, FALSE)</f>
        <v>Desktop</v>
      </c>
      <c r="E668" t="str">
        <f>VLOOKUP(A668, user_table!$A:$F, 6, FALSE)</f>
        <v>Organic</v>
      </c>
      <c r="F668" s="1" t="str">
        <f>IF(ISNUMBER(MATCH(A668, search_page!$A:$A, 0)), "Yes", "No")</f>
        <v>No</v>
      </c>
    </row>
    <row r="669" spans="1:6">
      <c r="A669">
        <v>1668</v>
      </c>
      <c r="B669" s="2">
        <v>45326.429861111108</v>
      </c>
      <c r="C669" t="str">
        <f>VLOOKUP(A669, user_table!$A:$B, 2, FALSE)</f>
        <v>Male</v>
      </c>
      <c r="D669" t="str">
        <f>VLOOKUP(A669, user_table!$A:$F, 5, FALSE)</f>
        <v>Mobile</v>
      </c>
      <c r="E669" t="str">
        <f>VLOOKUP(A669, user_table!$A:$F, 6, FALSE)</f>
        <v>Email</v>
      </c>
      <c r="F669" s="1" t="str">
        <f>IF(ISNUMBER(MATCH(A669, search_page!$A:$A, 0)), "Yes", "No")</f>
        <v>Yes</v>
      </c>
    </row>
    <row r="670" spans="1:6">
      <c r="A670">
        <v>1669</v>
      </c>
      <c r="B670" s="2">
        <v>45366.98333333333</v>
      </c>
      <c r="C670" t="str">
        <f>VLOOKUP(A670, user_table!$A:$B, 2, FALSE)</f>
        <v>Male</v>
      </c>
      <c r="D670" t="str">
        <f>VLOOKUP(A670, user_table!$A:$F, 5, FALSE)</f>
        <v>Mobile</v>
      </c>
      <c r="E670" t="str">
        <f>VLOOKUP(A670, user_table!$A:$F, 6, FALSE)</f>
        <v>Organic</v>
      </c>
      <c r="F670" s="1" t="str">
        <f>IF(ISNUMBER(MATCH(A670, search_page!$A:$A, 0)), "Yes", "No")</f>
        <v>No</v>
      </c>
    </row>
    <row r="671" spans="1:6">
      <c r="A671">
        <v>1670</v>
      </c>
      <c r="B671" s="2">
        <v>45293.361805555556</v>
      </c>
      <c r="C671" t="str">
        <f>VLOOKUP(A671, user_table!$A:$B, 2, FALSE)</f>
        <v>Male</v>
      </c>
      <c r="D671" t="str">
        <f>VLOOKUP(A671, user_table!$A:$F, 5, FALSE)</f>
        <v>Mobile</v>
      </c>
      <c r="E671" t="str">
        <f>VLOOKUP(A671, user_table!$A:$F, 6, FALSE)</f>
        <v>Organic</v>
      </c>
      <c r="F671" s="1" t="str">
        <f>IF(ISNUMBER(MATCH(A671, search_page!$A:$A, 0)), "Yes", "No")</f>
        <v>Yes</v>
      </c>
    </row>
    <row r="672" spans="1:6">
      <c r="A672">
        <v>1671</v>
      </c>
      <c r="B672" s="2">
        <v>45338.927083333336</v>
      </c>
      <c r="C672" t="str">
        <f>VLOOKUP(A672, user_table!$A:$B, 2, FALSE)</f>
        <v>Male</v>
      </c>
      <c r="D672" t="str">
        <f>VLOOKUP(A672, user_table!$A:$F, 5, FALSE)</f>
        <v>Desktop</v>
      </c>
      <c r="E672" t="str">
        <f>VLOOKUP(A672, user_table!$A:$F, 6, FALSE)</f>
        <v>Paid</v>
      </c>
      <c r="F672" s="1" t="str">
        <f>IF(ISNUMBER(MATCH(A672, search_page!$A:$A, 0)), "Yes", "No")</f>
        <v>No</v>
      </c>
    </row>
    <row r="673" spans="1:6">
      <c r="A673">
        <v>1672</v>
      </c>
      <c r="B673" s="2">
        <v>45299.879861111112</v>
      </c>
      <c r="C673" t="str">
        <f>VLOOKUP(A673, user_table!$A:$B, 2, FALSE)</f>
        <v>Female</v>
      </c>
      <c r="D673" t="str">
        <f>VLOOKUP(A673, user_table!$A:$F, 5, FALSE)</f>
        <v>Desktop</v>
      </c>
      <c r="E673" t="str">
        <f>VLOOKUP(A673, user_table!$A:$F, 6, FALSE)</f>
        <v>Social</v>
      </c>
      <c r="F673" s="1" t="str">
        <f>IF(ISNUMBER(MATCH(A673, search_page!$A:$A, 0)), "Yes", "No")</f>
        <v>Yes</v>
      </c>
    </row>
    <row r="674" spans="1:6">
      <c r="A674">
        <v>1673</v>
      </c>
      <c r="B674" s="2">
        <v>45351.381944444445</v>
      </c>
      <c r="C674" t="str">
        <f>VLOOKUP(A674, user_table!$A:$B, 2, FALSE)</f>
        <v>Male</v>
      </c>
      <c r="D674" t="str">
        <f>VLOOKUP(A674, user_table!$A:$F, 5, FALSE)</f>
        <v>Tablet</v>
      </c>
      <c r="E674" t="str">
        <f>VLOOKUP(A674, user_table!$A:$F, 6, FALSE)</f>
        <v>Paid</v>
      </c>
      <c r="F674" s="1" t="str">
        <f>IF(ISNUMBER(MATCH(A674, search_page!$A:$A, 0)), "Yes", "No")</f>
        <v>Yes</v>
      </c>
    </row>
    <row r="675" spans="1:6">
      <c r="A675">
        <v>1674</v>
      </c>
      <c r="B675" s="2">
        <v>45343.897222222222</v>
      </c>
      <c r="C675" t="str">
        <f>VLOOKUP(A675, user_table!$A:$B, 2, FALSE)</f>
        <v>Female</v>
      </c>
      <c r="D675" t="str">
        <f>VLOOKUP(A675, user_table!$A:$F, 5, FALSE)</f>
        <v>Mobile</v>
      </c>
      <c r="E675" t="str">
        <f>VLOOKUP(A675, user_table!$A:$F, 6, FALSE)</f>
        <v>Organic</v>
      </c>
      <c r="F675" s="1" t="str">
        <f>IF(ISNUMBER(MATCH(A675, search_page!$A:$A, 0)), "Yes", "No")</f>
        <v>No</v>
      </c>
    </row>
    <row r="676" spans="1:6">
      <c r="A676">
        <v>1675</v>
      </c>
      <c r="B676" s="2">
        <v>45331.921527777777</v>
      </c>
      <c r="C676" t="str">
        <f>VLOOKUP(A676, user_table!$A:$B, 2, FALSE)</f>
        <v>Male</v>
      </c>
      <c r="D676" t="str">
        <f>VLOOKUP(A676, user_table!$A:$F, 5, FALSE)</f>
        <v>Tablet</v>
      </c>
      <c r="E676" t="str">
        <f>VLOOKUP(A676, user_table!$A:$F, 6, FALSE)</f>
        <v>Social</v>
      </c>
      <c r="F676" s="1" t="str">
        <f>IF(ISNUMBER(MATCH(A676, search_page!$A:$A, 0)), "Yes", "No")</f>
        <v>Yes</v>
      </c>
    </row>
    <row r="677" spans="1:6">
      <c r="A677">
        <v>1676</v>
      </c>
      <c r="B677" s="2">
        <v>45373.390972222223</v>
      </c>
      <c r="C677" t="str">
        <f>VLOOKUP(A677, user_table!$A:$B, 2, FALSE)</f>
        <v>Female</v>
      </c>
      <c r="D677" t="str">
        <f>VLOOKUP(A677, user_table!$A:$F, 5, FALSE)</f>
        <v>Mobile</v>
      </c>
      <c r="E677" t="str">
        <f>VLOOKUP(A677, user_table!$A:$F, 6, FALSE)</f>
        <v>Direct</v>
      </c>
      <c r="F677" s="1" t="str">
        <f>IF(ISNUMBER(MATCH(A677, search_page!$A:$A, 0)), "Yes", "No")</f>
        <v>Yes</v>
      </c>
    </row>
    <row r="678" spans="1:6">
      <c r="A678">
        <v>1677</v>
      </c>
      <c r="B678" s="2">
        <v>45370.301388888889</v>
      </c>
      <c r="C678" t="str">
        <f>VLOOKUP(A678, user_table!$A:$B, 2, FALSE)</f>
        <v>Male</v>
      </c>
      <c r="D678" t="str">
        <f>VLOOKUP(A678, user_table!$A:$F, 5, FALSE)</f>
        <v>Mobile</v>
      </c>
      <c r="E678" t="str">
        <f>VLOOKUP(A678, user_table!$A:$F, 6, FALSE)</f>
        <v>Paid</v>
      </c>
      <c r="F678" s="1" t="str">
        <f>IF(ISNUMBER(MATCH(A678, search_page!$A:$A, 0)), "Yes", "No")</f>
        <v>Yes</v>
      </c>
    </row>
    <row r="679" spans="1:6">
      <c r="A679">
        <v>1678</v>
      </c>
      <c r="B679" s="2">
        <v>45309.631249999999</v>
      </c>
      <c r="C679" t="str">
        <f>VLOOKUP(A679, user_table!$A:$B, 2, FALSE)</f>
        <v>Male</v>
      </c>
      <c r="D679" t="str">
        <f>VLOOKUP(A679, user_table!$A:$F, 5, FALSE)</f>
        <v>Mobile</v>
      </c>
      <c r="E679" t="str">
        <f>VLOOKUP(A679, user_table!$A:$F, 6, FALSE)</f>
        <v>Organic</v>
      </c>
      <c r="F679" s="1" t="str">
        <f>IF(ISNUMBER(MATCH(A679, search_page!$A:$A, 0)), "Yes", "No")</f>
        <v>Yes</v>
      </c>
    </row>
    <row r="680" spans="1:6">
      <c r="A680">
        <v>1679</v>
      </c>
      <c r="B680" s="2">
        <v>45350.984722222223</v>
      </c>
      <c r="C680" t="str">
        <f>VLOOKUP(A680, user_table!$A:$B, 2, FALSE)</f>
        <v>Female</v>
      </c>
      <c r="D680" t="str">
        <f>VLOOKUP(A680, user_table!$A:$F, 5, FALSE)</f>
        <v>Tablet</v>
      </c>
      <c r="E680" t="str">
        <f>VLOOKUP(A680, user_table!$A:$F, 6, FALSE)</f>
        <v>Paid</v>
      </c>
      <c r="F680" s="1" t="str">
        <f>IF(ISNUMBER(MATCH(A680, search_page!$A:$A, 0)), "Yes", "No")</f>
        <v>No</v>
      </c>
    </row>
    <row r="681" spans="1:6">
      <c r="A681">
        <v>1680</v>
      </c>
      <c r="B681" s="2">
        <v>45339.572222222225</v>
      </c>
      <c r="C681" t="str">
        <f>VLOOKUP(A681, user_table!$A:$B, 2, FALSE)</f>
        <v>Female</v>
      </c>
      <c r="D681" t="str">
        <f>VLOOKUP(A681, user_table!$A:$F, 5, FALSE)</f>
        <v>Mobile</v>
      </c>
      <c r="E681" t="str">
        <f>VLOOKUP(A681, user_table!$A:$F, 6, FALSE)</f>
        <v>Organic</v>
      </c>
      <c r="F681" s="1" t="str">
        <f>IF(ISNUMBER(MATCH(A681, search_page!$A:$A, 0)), "Yes", "No")</f>
        <v>No</v>
      </c>
    </row>
    <row r="682" spans="1:6">
      <c r="A682">
        <v>1681</v>
      </c>
      <c r="B682" s="2">
        <v>45362.658333333333</v>
      </c>
      <c r="C682" t="str">
        <f>VLOOKUP(A682, user_table!$A:$B, 2, FALSE)</f>
        <v>Female</v>
      </c>
      <c r="D682" t="str">
        <f>VLOOKUP(A682, user_table!$A:$F, 5, FALSE)</f>
        <v>Mobile</v>
      </c>
      <c r="E682" t="str">
        <f>VLOOKUP(A682, user_table!$A:$F, 6, FALSE)</f>
        <v>Email</v>
      </c>
      <c r="F682" s="1" t="str">
        <f>IF(ISNUMBER(MATCH(A682, search_page!$A:$A, 0)), "Yes", "No")</f>
        <v>No</v>
      </c>
    </row>
    <row r="683" spans="1:6">
      <c r="A683">
        <v>1682</v>
      </c>
      <c r="B683" s="2">
        <v>45360.911111111112</v>
      </c>
      <c r="C683" t="str">
        <f>VLOOKUP(A683, user_table!$A:$B, 2, FALSE)</f>
        <v>Male</v>
      </c>
      <c r="D683" t="str">
        <f>VLOOKUP(A683, user_table!$A:$F, 5, FALSE)</f>
        <v>Desktop</v>
      </c>
      <c r="E683" t="str">
        <f>VLOOKUP(A683, user_table!$A:$F, 6, FALSE)</f>
        <v>Email</v>
      </c>
      <c r="F683" s="1" t="str">
        <f>IF(ISNUMBER(MATCH(A683, search_page!$A:$A, 0)), "Yes", "No")</f>
        <v>No</v>
      </c>
    </row>
    <row r="684" spans="1:6">
      <c r="A684">
        <v>1683</v>
      </c>
      <c r="B684" s="2">
        <v>45319.321527777778</v>
      </c>
      <c r="C684" t="str">
        <f>VLOOKUP(A684, user_table!$A:$B, 2, FALSE)</f>
        <v>Male</v>
      </c>
      <c r="D684" t="str">
        <f>VLOOKUP(A684, user_table!$A:$F, 5, FALSE)</f>
        <v>Desktop</v>
      </c>
      <c r="E684" t="str">
        <f>VLOOKUP(A684, user_table!$A:$F, 6, FALSE)</f>
        <v>Social</v>
      </c>
      <c r="F684" s="1" t="str">
        <f>IF(ISNUMBER(MATCH(A684, search_page!$A:$A, 0)), "Yes", "No")</f>
        <v>No</v>
      </c>
    </row>
    <row r="685" spans="1:6">
      <c r="A685">
        <v>1684</v>
      </c>
      <c r="B685" s="2">
        <v>45368.106249999997</v>
      </c>
      <c r="C685" t="str">
        <f>VLOOKUP(A685, user_table!$A:$B, 2, FALSE)</f>
        <v>Female</v>
      </c>
      <c r="D685" t="str">
        <f>VLOOKUP(A685, user_table!$A:$F, 5, FALSE)</f>
        <v>Mobile</v>
      </c>
      <c r="E685" t="str">
        <f>VLOOKUP(A685, user_table!$A:$F, 6, FALSE)</f>
        <v>Paid</v>
      </c>
      <c r="F685" s="1" t="str">
        <f>IF(ISNUMBER(MATCH(A685, search_page!$A:$A, 0)), "Yes", "No")</f>
        <v>No</v>
      </c>
    </row>
    <row r="686" spans="1:6">
      <c r="A686">
        <v>1685</v>
      </c>
      <c r="B686" s="2">
        <v>45349.697916666664</v>
      </c>
      <c r="C686" t="str">
        <f>VLOOKUP(A686, user_table!$A:$B, 2, FALSE)</f>
        <v>Female</v>
      </c>
      <c r="D686" t="str">
        <f>VLOOKUP(A686, user_table!$A:$F, 5, FALSE)</f>
        <v>Desktop</v>
      </c>
      <c r="E686" t="str">
        <f>VLOOKUP(A686, user_table!$A:$F, 6, FALSE)</f>
        <v>Email</v>
      </c>
      <c r="F686" s="1" t="str">
        <f>IF(ISNUMBER(MATCH(A686, search_page!$A:$A, 0)), "Yes", "No")</f>
        <v>Yes</v>
      </c>
    </row>
    <row r="687" spans="1:6">
      <c r="A687">
        <v>1686</v>
      </c>
      <c r="B687" s="2">
        <v>45338.123611111114</v>
      </c>
      <c r="C687" t="str">
        <f>VLOOKUP(A687, user_table!$A:$B, 2, FALSE)</f>
        <v>Female</v>
      </c>
      <c r="D687" t="str">
        <f>VLOOKUP(A687, user_table!$A:$F, 5, FALSE)</f>
        <v>Desktop</v>
      </c>
      <c r="E687" t="str">
        <f>VLOOKUP(A687, user_table!$A:$F, 6, FALSE)</f>
        <v>Social</v>
      </c>
      <c r="F687" s="1" t="str">
        <f>IF(ISNUMBER(MATCH(A687, search_page!$A:$A, 0)), "Yes", "No")</f>
        <v>Yes</v>
      </c>
    </row>
    <row r="688" spans="1:6">
      <c r="A688">
        <v>1687</v>
      </c>
      <c r="B688" s="2">
        <v>45364.127083333333</v>
      </c>
      <c r="C688" t="str">
        <f>VLOOKUP(A688, user_table!$A:$B, 2, FALSE)</f>
        <v>Female</v>
      </c>
      <c r="D688" t="str">
        <f>VLOOKUP(A688, user_table!$A:$F, 5, FALSE)</f>
        <v>Desktop</v>
      </c>
      <c r="E688" t="str">
        <f>VLOOKUP(A688, user_table!$A:$F, 6, FALSE)</f>
        <v>Email</v>
      </c>
      <c r="F688" s="1" t="str">
        <f>IF(ISNUMBER(MATCH(A688, search_page!$A:$A, 0)), "Yes", "No")</f>
        <v>Yes</v>
      </c>
    </row>
    <row r="689" spans="1:6">
      <c r="A689">
        <v>1688</v>
      </c>
      <c r="B689" s="2">
        <v>45362.675000000003</v>
      </c>
      <c r="C689" t="str">
        <f>VLOOKUP(A689, user_table!$A:$B, 2, FALSE)</f>
        <v>Male</v>
      </c>
      <c r="D689" t="str">
        <f>VLOOKUP(A689, user_table!$A:$F, 5, FALSE)</f>
        <v>Desktop</v>
      </c>
      <c r="E689" t="str">
        <f>VLOOKUP(A689, user_table!$A:$F, 6, FALSE)</f>
        <v>Social</v>
      </c>
      <c r="F689" s="1" t="str">
        <f>IF(ISNUMBER(MATCH(A689, search_page!$A:$A, 0)), "Yes", "No")</f>
        <v>Yes</v>
      </c>
    </row>
    <row r="690" spans="1:6">
      <c r="A690">
        <v>1689</v>
      </c>
      <c r="B690" s="2">
        <v>45365.714583333334</v>
      </c>
      <c r="C690" t="str">
        <f>VLOOKUP(A690, user_table!$A:$B, 2, FALSE)</f>
        <v>Female</v>
      </c>
      <c r="D690" t="str">
        <f>VLOOKUP(A690, user_table!$A:$F, 5, FALSE)</f>
        <v>Desktop</v>
      </c>
      <c r="E690" t="str">
        <f>VLOOKUP(A690, user_table!$A:$F, 6, FALSE)</f>
        <v>Email</v>
      </c>
      <c r="F690" s="1" t="str">
        <f>IF(ISNUMBER(MATCH(A690, search_page!$A:$A, 0)), "Yes", "No")</f>
        <v>No</v>
      </c>
    </row>
    <row r="691" spans="1:6">
      <c r="A691">
        <v>1690</v>
      </c>
      <c r="B691" s="2">
        <v>45313.45416666667</v>
      </c>
      <c r="C691" t="str">
        <f>VLOOKUP(A691, user_table!$A:$B, 2, FALSE)</f>
        <v>Male</v>
      </c>
      <c r="D691" t="str">
        <f>VLOOKUP(A691, user_table!$A:$F, 5, FALSE)</f>
        <v>Desktop</v>
      </c>
      <c r="E691" t="str">
        <f>VLOOKUP(A691, user_table!$A:$F, 6, FALSE)</f>
        <v>Social</v>
      </c>
      <c r="F691" s="1" t="str">
        <f>IF(ISNUMBER(MATCH(A691, search_page!$A:$A, 0)), "Yes", "No")</f>
        <v>Yes</v>
      </c>
    </row>
    <row r="692" spans="1:6">
      <c r="A692">
        <v>1691</v>
      </c>
      <c r="B692" s="2">
        <v>45358.588194444441</v>
      </c>
      <c r="C692" t="str">
        <f>VLOOKUP(A692, user_table!$A:$B, 2, FALSE)</f>
        <v>Male</v>
      </c>
      <c r="D692" t="str">
        <f>VLOOKUP(A692, user_table!$A:$F, 5, FALSE)</f>
        <v>Tablet</v>
      </c>
      <c r="E692" t="str">
        <f>VLOOKUP(A692, user_table!$A:$F, 6, FALSE)</f>
        <v>Paid</v>
      </c>
      <c r="F692" s="1" t="str">
        <f>IF(ISNUMBER(MATCH(A692, search_page!$A:$A, 0)), "Yes", "No")</f>
        <v>Yes</v>
      </c>
    </row>
    <row r="693" spans="1:6">
      <c r="A693">
        <v>1692</v>
      </c>
      <c r="B693" s="2">
        <v>45379.28125</v>
      </c>
      <c r="C693" t="str">
        <f>VLOOKUP(A693, user_table!$A:$B, 2, FALSE)</f>
        <v>Male</v>
      </c>
      <c r="D693" t="str">
        <f>VLOOKUP(A693, user_table!$A:$F, 5, FALSE)</f>
        <v>Mobile</v>
      </c>
      <c r="E693" t="str">
        <f>VLOOKUP(A693, user_table!$A:$F, 6, FALSE)</f>
        <v>Direct</v>
      </c>
      <c r="F693" s="1" t="str">
        <f>IF(ISNUMBER(MATCH(A693, search_page!$A:$A, 0)), "Yes", "No")</f>
        <v>Yes</v>
      </c>
    </row>
    <row r="694" spans="1:6">
      <c r="A694">
        <v>1693</v>
      </c>
      <c r="B694" s="2">
        <v>45366.628472222219</v>
      </c>
      <c r="C694" t="str">
        <f>VLOOKUP(A694, user_table!$A:$B, 2, FALSE)</f>
        <v>Male</v>
      </c>
      <c r="D694" t="str">
        <f>VLOOKUP(A694, user_table!$A:$F, 5, FALSE)</f>
        <v>Desktop</v>
      </c>
      <c r="E694" t="str">
        <f>VLOOKUP(A694, user_table!$A:$F, 6, FALSE)</f>
        <v>Paid</v>
      </c>
      <c r="F694" s="1" t="str">
        <f>IF(ISNUMBER(MATCH(A694, search_page!$A:$A, 0)), "Yes", "No")</f>
        <v>Yes</v>
      </c>
    </row>
    <row r="695" spans="1:6">
      <c r="A695">
        <v>1694</v>
      </c>
      <c r="B695" s="2">
        <v>45357.618750000001</v>
      </c>
      <c r="C695" t="str">
        <f>VLOOKUP(A695, user_table!$A:$B, 2, FALSE)</f>
        <v>Male</v>
      </c>
      <c r="D695" t="str">
        <f>VLOOKUP(A695, user_table!$A:$F, 5, FALSE)</f>
        <v>Desktop</v>
      </c>
      <c r="E695" t="str">
        <f>VLOOKUP(A695, user_table!$A:$F, 6, FALSE)</f>
        <v>Social</v>
      </c>
      <c r="F695" s="1" t="str">
        <f>IF(ISNUMBER(MATCH(A695, search_page!$A:$A, 0)), "Yes", "No")</f>
        <v>No</v>
      </c>
    </row>
    <row r="696" spans="1:6">
      <c r="A696">
        <v>1695</v>
      </c>
      <c r="B696" s="2">
        <v>45299.588888888888</v>
      </c>
      <c r="C696" t="str">
        <f>VLOOKUP(A696, user_table!$A:$B, 2, FALSE)</f>
        <v>Male</v>
      </c>
      <c r="D696" t="str">
        <f>VLOOKUP(A696, user_table!$A:$F, 5, FALSE)</f>
        <v>Mobile</v>
      </c>
      <c r="E696" t="str">
        <f>VLOOKUP(A696, user_table!$A:$F, 6, FALSE)</f>
        <v>Organic</v>
      </c>
      <c r="F696" s="1" t="str">
        <f>IF(ISNUMBER(MATCH(A696, search_page!$A:$A, 0)), "Yes", "No")</f>
        <v>No</v>
      </c>
    </row>
    <row r="697" spans="1:6">
      <c r="A697">
        <v>1696</v>
      </c>
      <c r="B697" s="2">
        <v>45357.561805555553</v>
      </c>
      <c r="C697" t="str">
        <f>VLOOKUP(A697, user_table!$A:$B, 2, FALSE)</f>
        <v>Female</v>
      </c>
      <c r="D697" t="str">
        <f>VLOOKUP(A697, user_table!$A:$F, 5, FALSE)</f>
        <v>Desktop</v>
      </c>
      <c r="E697" t="str">
        <f>VLOOKUP(A697, user_table!$A:$F, 6, FALSE)</f>
        <v>Social</v>
      </c>
      <c r="F697" s="1" t="str">
        <f>IF(ISNUMBER(MATCH(A697, search_page!$A:$A, 0)), "Yes", "No")</f>
        <v>Yes</v>
      </c>
    </row>
    <row r="698" spans="1:6">
      <c r="A698">
        <v>1697</v>
      </c>
      <c r="B698" s="2">
        <v>45364.065972222219</v>
      </c>
      <c r="C698" t="str">
        <f>VLOOKUP(A698, user_table!$A:$B, 2, FALSE)</f>
        <v>Male</v>
      </c>
      <c r="D698" t="str">
        <f>VLOOKUP(A698, user_table!$A:$F, 5, FALSE)</f>
        <v>Mobile</v>
      </c>
      <c r="E698" t="str">
        <f>VLOOKUP(A698, user_table!$A:$F, 6, FALSE)</f>
        <v>Social</v>
      </c>
      <c r="F698" s="1" t="str">
        <f>IF(ISNUMBER(MATCH(A698, search_page!$A:$A, 0)), "Yes", "No")</f>
        <v>Yes</v>
      </c>
    </row>
    <row r="699" spans="1:6">
      <c r="A699">
        <v>1698</v>
      </c>
      <c r="B699" s="2">
        <v>45351.910416666666</v>
      </c>
      <c r="C699" t="str">
        <f>VLOOKUP(A699, user_table!$A:$B, 2, FALSE)</f>
        <v>Female</v>
      </c>
      <c r="D699" t="str">
        <f>VLOOKUP(A699, user_table!$A:$F, 5, FALSE)</f>
        <v>Mobile</v>
      </c>
      <c r="E699" t="str">
        <f>VLOOKUP(A699, user_table!$A:$F, 6, FALSE)</f>
        <v>Organic</v>
      </c>
      <c r="F699" s="1" t="str">
        <f>IF(ISNUMBER(MATCH(A699, search_page!$A:$A, 0)), "Yes", "No")</f>
        <v>No</v>
      </c>
    </row>
    <row r="700" spans="1:6">
      <c r="A700">
        <v>1699</v>
      </c>
      <c r="B700" s="2">
        <v>45331.959027777775</v>
      </c>
      <c r="C700" t="str">
        <f>VLOOKUP(A700, user_table!$A:$B, 2, FALSE)</f>
        <v>Male</v>
      </c>
      <c r="D700" t="str">
        <f>VLOOKUP(A700, user_table!$A:$F, 5, FALSE)</f>
        <v>Mobile</v>
      </c>
      <c r="E700" t="str">
        <f>VLOOKUP(A700, user_table!$A:$F, 6, FALSE)</f>
        <v>Organic</v>
      </c>
      <c r="F700" s="1" t="str">
        <f>IF(ISNUMBER(MATCH(A700, search_page!$A:$A, 0)), "Yes", "No")</f>
        <v>Yes</v>
      </c>
    </row>
    <row r="701" spans="1:6">
      <c r="A701">
        <v>1700</v>
      </c>
      <c r="B701" s="2">
        <v>45342.369444444441</v>
      </c>
      <c r="C701" t="str">
        <f>VLOOKUP(A701, user_table!$A:$B, 2, FALSE)</f>
        <v>Male</v>
      </c>
      <c r="D701" t="str">
        <f>VLOOKUP(A701, user_table!$A:$F, 5, FALSE)</f>
        <v>Desktop</v>
      </c>
      <c r="E701" t="str">
        <f>VLOOKUP(A701, user_table!$A:$F, 6, FALSE)</f>
        <v>Social</v>
      </c>
      <c r="F701" s="1" t="str">
        <f>IF(ISNUMBER(MATCH(A701, search_page!$A:$A, 0)), "Yes", "No")</f>
        <v>Yes</v>
      </c>
    </row>
    <row r="702" spans="1:6">
      <c r="A702">
        <v>1701</v>
      </c>
      <c r="B702" s="2">
        <v>45292.967361111114</v>
      </c>
      <c r="C702" t="str">
        <f>VLOOKUP(A702, user_table!$A:$B, 2, FALSE)</f>
        <v>Female</v>
      </c>
      <c r="D702" t="str">
        <f>VLOOKUP(A702, user_table!$A:$F, 5, FALSE)</f>
        <v>Mobile</v>
      </c>
      <c r="E702" t="str">
        <f>VLOOKUP(A702, user_table!$A:$F, 6, FALSE)</f>
        <v>Email</v>
      </c>
      <c r="F702" s="1" t="str">
        <f>IF(ISNUMBER(MATCH(A702, search_page!$A:$A, 0)), "Yes", "No")</f>
        <v>Yes</v>
      </c>
    </row>
    <row r="703" spans="1:6">
      <c r="A703">
        <v>1702</v>
      </c>
      <c r="B703" s="2">
        <v>45366.084722222222</v>
      </c>
      <c r="C703" t="str">
        <f>VLOOKUP(A703, user_table!$A:$B, 2, FALSE)</f>
        <v>Male</v>
      </c>
      <c r="D703" t="str">
        <f>VLOOKUP(A703, user_table!$A:$F, 5, FALSE)</f>
        <v>Desktop</v>
      </c>
      <c r="E703" t="str">
        <f>VLOOKUP(A703, user_table!$A:$F, 6, FALSE)</f>
        <v>Paid</v>
      </c>
      <c r="F703" s="1" t="str">
        <f>IF(ISNUMBER(MATCH(A703, search_page!$A:$A, 0)), "Yes", "No")</f>
        <v>Yes</v>
      </c>
    </row>
    <row r="704" spans="1:6">
      <c r="A704">
        <v>1703</v>
      </c>
      <c r="B704" s="2">
        <v>45346.488888888889</v>
      </c>
      <c r="C704" t="str">
        <f>VLOOKUP(A704, user_table!$A:$B, 2, FALSE)</f>
        <v>Male</v>
      </c>
      <c r="D704" t="str">
        <f>VLOOKUP(A704, user_table!$A:$F, 5, FALSE)</f>
        <v>Tablet</v>
      </c>
      <c r="E704" t="str">
        <f>VLOOKUP(A704, user_table!$A:$F, 6, FALSE)</f>
        <v>Organic</v>
      </c>
      <c r="F704" s="1" t="str">
        <f>IF(ISNUMBER(MATCH(A704, search_page!$A:$A, 0)), "Yes", "No")</f>
        <v>No</v>
      </c>
    </row>
    <row r="705" spans="1:6">
      <c r="A705">
        <v>1704</v>
      </c>
      <c r="B705" s="2">
        <v>45300.710416666669</v>
      </c>
      <c r="C705" t="str">
        <f>VLOOKUP(A705, user_table!$A:$B, 2, FALSE)</f>
        <v>Male</v>
      </c>
      <c r="D705" t="str">
        <f>VLOOKUP(A705, user_table!$A:$F, 5, FALSE)</f>
        <v>Mobile</v>
      </c>
      <c r="E705" t="str">
        <f>VLOOKUP(A705, user_table!$A:$F, 6, FALSE)</f>
        <v>Social</v>
      </c>
      <c r="F705" s="1" t="str">
        <f>IF(ISNUMBER(MATCH(A705, search_page!$A:$A, 0)), "Yes", "No")</f>
        <v>No</v>
      </c>
    </row>
    <row r="706" spans="1:6">
      <c r="A706">
        <v>1705</v>
      </c>
      <c r="B706" s="2">
        <v>45300.626388888886</v>
      </c>
      <c r="C706" t="str">
        <f>VLOOKUP(A706, user_table!$A:$B, 2, FALSE)</f>
        <v>Male</v>
      </c>
      <c r="D706" t="str">
        <f>VLOOKUP(A706, user_table!$A:$F, 5, FALSE)</f>
        <v>Desktop</v>
      </c>
      <c r="E706" t="str">
        <f>VLOOKUP(A706, user_table!$A:$F, 6, FALSE)</f>
        <v>Organic</v>
      </c>
      <c r="F706" s="1" t="str">
        <f>IF(ISNUMBER(MATCH(A706, search_page!$A:$A, 0)), "Yes", "No")</f>
        <v>Yes</v>
      </c>
    </row>
    <row r="707" spans="1:6">
      <c r="A707">
        <v>1706</v>
      </c>
      <c r="B707" s="2">
        <v>45328.549305555556</v>
      </c>
      <c r="C707" t="str">
        <f>VLOOKUP(A707, user_table!$A:$B, 2, FALSE)</f>
        <v>Female</v>
      </c>
      <c r="D707" t="str">
        <f>VLOOKUP(A707, user_table!$A:$F, 5, FALSE)</f>
        <v>Desktop</v>
      </c>
      <c r="E707" t="str">
        <f>VLOOKUP(A707, user_table!$A:$F, 6, FALSE)</f>
        <v>Paid</v>
      </c>
      <c r="F707" s="1" t="str">
        <f>IF(ISNUMBER(MATCH(A707, search_page!$A:$A, 0)), "Yes", "No")</f>
        <v>Yes</v>
      </c>
    </row>
    <row r="708" spans="1:6">
      <c r="A708">
        <v>1707</v>
      </c>
      <c r="B708" s="2">
        <v>45309.865277777775</v>
      </c>
      <c r="C708" t="str">
        <f>VLOOKUP(A708, user_table!$A:$B, 2, FALSE)</f>
        <v>Male</v>
      </c>
      <c r="D708" t="str">
        <f>VLOOKUP(A708, user_table!$A:$F, 5, FALSE)</f>
        <v>Desktop</v>
      </c>
      <c r="E708" t="str">
        <f>VLOOKUP(A708, user_table!$A:$F, 6, FALSE)</f>
        <v>Organic</v>
      </c>
      <c r="F708" s="1" t="str">
        <f>IF(ISNUMBER(MATCH(A708, search_page!$A:$A, 0)), "Yes", "No")</f>
        <v>Yes</v>
      </c>
    </row>
    <row r="709" spans="1:6">
      <c r="A709">
        <v>1708</v>
      </c>
      <c r="B709" s="2">
        <v>45374.557638888888</v>
      </c>
      <c r="C709" t="str">
        <f>VLOOKUP(A709, user_table!$A:$B, 2, FALSE)</f>
        <v>Female</v>
      </c>
      <c r="D709" t="str">
        <f>VLOOKUP(A709, user_table!$A:$F, 5, FALSE)</f>
        <v>Mobile</v>
      </c>
      <c r="E709" t="str">
        <f>VLOOKUP(A709, user_table!$A:$F, 6, FALSE)</f>
        <v>Organic</v>
      </c>
      <c r="F709" s="1" t="str">
        <f>IF(ISNUMBER(MATCH(A709, search_page!$A:$A, 0)), "Yes", "No")</f>
        <v>Yes</v>
      </c>
    </row>
    <row r="710" spans="1:6">
      <c r="A710">
        <v>1709</v>
      </c>
      <c r="B710" s="2">
        <v>45340.621527777781</v>
      </c>
      <c r="C710" t="str">
        <f>VLOOKUP(A710, user_table!$A:$B, 2, FALSE)</f>
        <v>Male</v>
      </c>
      <c r="D710" t="str">
        <f>VLOOKUP(A710, user_table!$A:$F, 5, FALSE)</f>
        <v>Desktop</v>
      </c>
      <c r="E710" t="str">
        <f>VLOOKUP(A710, user_table!$A:$F, 6, FALSE)</f>
        <v>Organic</v>
      </c>
      <c r="F710" s="1" t="str">
        <f>IF(ISNUMBER(MATCH(A710, search_page!$A:$A, 0)), "Yes", "No")</f>
        <v>No</v>
      </c>
    </row>
    <row r="711" spans="1:6">
      <c r="A711">
        <v>1710</v>
      </c>
      <c r="B711" s="2">
        <v>45340.503472222219</v>
      </c>
      <c r="C711" t="str">
        <f>VLOOKUP(A711, user_table!$A:$B, 2, FALSE)</f>
        <v>Female</v>
      </c>
      <c r="D711" t="str">
        <f>VLOOKUP(A711, user_table!$A:$F, 5, FALSE)</f>
        <v>Mobile</v>
      </c>
      <c r="E711" t="str">
        <f>VLOOKUP(A711, user_table!$A:$F, 6, FALSE)</f>
        <v>Paid</v>
      </c>
      <c r="F711" s="1" t="str">
        <f>IF(ISNUMBER(MATCH(A711, search_page!$A:$A, 0)), "Yes", "No")</f>
        <v>Yes</v>
      </c>
    </row>
    <row r="712" spans="1:6">
      <c r="A712">
        <v>1711</v>
      </c>
      <c r="B712" s="2">
        <v>45379.913194444445</v>
      </c>
      <c r="C712" t="str">
        <f>VLOOKUP(A712, user_table!$A:$B, 2, FALSE)</f>
        <v>Female</v>
      </c>
      <c r="D712" t="str">
        <f>VLOOKUP(A712, user_table!$A:$F, 5, FALSE)</f>
        <v>Desktop</v>
      </c>
      <c r="E712" t="str">
        <f>VLOOKUP(A712, user_table!$A:$F, 6, FALSE)</f>
        <v>Organic</v>
      </c>
      <c r="F712" s="1" t="str">
        <f>IF(ISNUMBER(MATCH(A712, search_page!$A:$A, 0)), "Yes", "No")</f>
        <v>No</v>
      </c>
    </row>
    <row r="713" spans="1:6">
      <c r="A713">
        <v>1712</v>
      </c>
      <c r="B713" s="2">
        <v>45361.195138888892</v>
      </c>
      <c r="C713" t="str">
        <f>VLOOKUP(A713, user_table!$A:$B, 2, FALSE)</f>
        <v>Female</v>
      </c>
      <c r="D713" t="str">
        <f>VLOOKUP(A713, user_table!$A:$F, 5, FALSE)</f>
        <v>Mobile</v>
      </c>
      <c r="E713" t="str">
        <f>VLOOKUP(A713, user_table!$A:$F, 6, FALSE)</f>
        <v>Paid</v>
      </c>
      <c r="F713" s="1" t="str">
        <f>IF(ISNUMBER(MATCH(A713, search_page!$A:$A, 0)), "Yes", "No")</f>
        <v>No</v>
      </c>
    </row>
    <row r="714" spans="1:6">
      <c r="A714">
        <v>1713</v>
      </c>
      <c r="B714" s="2">
        <v>45336.132638888892</v>
      </c>
      <c r="C714" t="str">
        <f>VLOOKUP(A714, user_table!$A:$B, 2, FALSE)</f>
        <v>Male</v>
      </c>
      <c r="D714" t="str">
        <f>VLOOKUP(A714, user_table!$A:$F, 5, FALSE)</f>
        <v>Mobile</v>
      </c>
      <c r="E714" t="str">
        <f>VLOOKUP(A714, user_table!$A:$F, 6, FALSE)</f>
        <v>Paid</v>
      </c>
      <c r="F714" s="1" t="str">
        <f>IF(ISNUMBER(MATCH(A714, search_page!$A:$A, 0)), "Yes", "No")</f>
        <v>Yes</v>
      </c>
    </row>
    <row r="715" spans="1:6">
      <c r="A715">
        <v>1714</v>
      </c>
      <c r="B715" s="2">
        <v>45360.522916666669</v>
      </c>
      <c r="C715" t="str">
        <f>VLOOKUP(A715, user_table!$A:$B, 2, FALSE)</f>
        <v>Male</v>
      </c>
      <c r="D715" t="str">
        <f>VLOOKUP(A715, user_table!$A:$F, 5, FALSE)</f>
        <v>Mobile</v>
      </c>
      <c r="E715" t="str">
        <f>VLOOKUP(A715, user_table!$A:$F, 6, FALSE)</f>
        <v>Paid</v>
      </c>
      <c r="F715" s="1" t="str">
        <f>IF(ISNUMBER(MATCH(A715, search_page!$A:$A, 0)), "Yes", "No")</f>
        <v>No</v>
      </c>
    </row>
    <row r="716" spans="1:6">
      <c r="A716">
        <v>1715</v>
      </c>
      <c r="B716" s="2">
        <v>45308.968055555553</v>
      </c>
      <c r="C716" t="str">
        <f>VLOOKUP(A716, user_table!$A:$B, 2, FALSE)</f>
        <v>Male</v>
      </c>
      <c r="D716" t="str">
        <f>VLOOKUP(A716, user_table!$A:$F, 5, FALSE)</f>
        <v>Mobile</v>
      </c>
      <c r="E716" t="str">
        <f>VLOOKUP(A716, user_table!$A:$F, 6, FALSE)</f>
        <v>Paid</v>
      </c>
      <c r="F716" s="1" t="str">
        <f>IF(ISNUMBER(MATCH(A716, search_page!$A:$A, 0)), "Yes", "No")</f>
        <v>Yes</v>
      </c>
    </row>
    <row r="717" spans="1:6">
      <c r="A717">
        <v>1716</v>
      </c>
      <c r="B717" s="2">
        <v>45292.013194444444</v>
      </c>
      <c r="C717" t="str">
        <f>VLOOKUP(A717, user_table!$A:$B, 2, FALSE)</f>
        <v>Female</v>
      </c>
      <c r="D717" t="str">
        <f>VLOOKUP(A717, user_table!$A:$F, 5, FALSE)</f>
        <v>Desktop</v>
      </c>
      <c r="E717" t="str">
        <f>VLOOKUP(A717, user_table!$A:$F, 6, FALSE)</f>
        <v>Email</v>
      </c>
      <c r="F717" s="1" t="str">
        <f>IF(ISNUMBER(MATCH(A717, search_page!$A:$A, 0)), "Yes", "No")</f>
        <v>Yes</v>
      </c>
    </row>
    <row r="718" spans="1:6">
      <c r="A718">
        <v>1717</v>
      </c>
      <c r="B718" s="2">
        <v>45351.906944444447</v>
      </c>
      <c r="C718" t="str">
        <f>VLOOKUP(A718, user_table!$A:$B, 2, FALSE)</f>
        <v>Female</v>
      </c>
      <c r="D718" t="str">
        <f>VLOOKUP(A718, user_table!$A:$F, 5, FALSE)</f>
        <v>Desktop</v>
      </c>
      <c r="E718" t="str">
        <f>VLOOKUP(A718, user_table!$A:$F, 6, FALSE)</f>
        <v>Organic</v>
      </c>
      <c r="F718" s="1" t="str">
        <f>IF(ISNUMBER(MATCH(A718, search_page!$A:$A, 0)), "Yes", "No")</f>
        <v>Yes</v>
      </c>
    </row>
    <row r="719" spans="1:6">
      <c r="A719">
        <v>1718</v>
      </c>
      <c r="B719" s="2">
        <v>45361.56527777778</v>
      </c>
      <c r="C719" t="str">
        <f>VLOOKUP(A719, user_table!$A:$B, 2, FALSE)</f>
        <v>Female</v>
      </c>
      <c r="D719" t="str">
        <f>VLOOKUP(A719, user_table!$A:$F, 5, FALSE)</f>
        <v>Mobile</v>
      </c>
      <c r="E719" t="str">
        <f>VLOOKUP(A719, user_table!$A:$F, 6, FALSE)</f>
        <v>Paid</v>
      </c>
      <c r="F719" s="1" t="str">
        <f>IF(ISNUMBER(MATCH(A719, search_page!$A:$A, 0)), "Yes", "No")</f>
        <v>Yes</v>
      </c>
    </row>
    <row r="720" spans="1:6">
      <c r="A720">
        <v>1719</v>
      </c>
      <c r="B720" s="2">
        <v>45340.302083333336</v>
      </c>
      <c r="C720" t="str">
        <f>VLOOKUP(A720, user_table!$A:$B, 2, FALSE)</f>
        <v>Male</v>
      </c>
      <c r="D720" t="str">
        <f>VLOOKUP(A720, user_table!$A:$F, 5, FALSE)</f>
        <v>Desktop</v>
      </c>
      <c r="E720" t="str">
        <f>VLOOKUP(A720, user_table!$A:$F, 6, FALSE)</f>
        <v>Organic</v>
      </c>
      <c r="F720" s="1" t="str">
        <f>IF(ISNUMBER(MATCH(A720, search_page!$A:$A, 0)), "Yes", "No")</f>
        <v>Yes</v>
      </c>
    </row>
    <row r="721" spans="1:6">
      <c r="A721">
        <v>1720</v>
      </c>
      <c r="B721" s="2">
        <v>45350.464583333334</v>
      </c>
      <c r="C721" t="str">
        <f>VLOOKUP(A721, user_table!$A:$B, 2, FALSE)</f>
        <v>Female</v>
      </c>
      <c r="D721" t="str">
        <f>VLOOKUP(A721, user_table!$A:$F, 5, FALSE)</f>
        <v>Desktop</v>
      </c>
      <c r="E721" t="str">
        <f>VLOOKUP(A721, user_table!$A:$F, 6, FALSE)</f>
        <v>Organic</v>
      </c>
      <c r="F721" s="1" t="str">
        <f>IF(ISNUMBER(MATCH(A721, search_page!$A:$A, 0)), "Yes", "No")</f>
        <v>No</v>
      </c>
    </row>
    <row r="722" spans="1:6">
      <c r="A722">
        <v>1721</v>
      </c>
      <c r="B722" s="2">
        <v>45327.290972222225</v>
      </c>
      <c r="C722" t="str">
        <f>VLOOKUP(A722, user_table!$A:$B, 2, FALSE)</f>
        <v>Female</v>
      </c>
      <c r="D722" t="str">
        <f>VLOOKUP(A722, user_table!$A:$F, 5, FALSE)</f>
        <v>Desktop</v>
      </c>
      <c r="E722" t="str">
        <f>VLOOKUP(A722, user_table!$A:$F, 6, FALSE)</f>
        <v>Social</v>
      </c>
      <c r="F722" s="1" t="str">
        <f>IF(ISNUMBER(MATCH(A722, search_page!$A:$A, 0)), "Yes", "No")</f>
        <v>No</v>
      </c>
    </row>
    <row r="723" spans="1:6">
      <c r="A723">
        <v>1722</v>
      </c>
      <c r="B723" s="2">
        <v>45306.07708333333</v>
      </c>
      <c r="C723" t="str">
        <f>VLOOKUP(A723, user_table!$A:$B, 2, FALSE)</f>
        <v>Male</v>
      </c>
      <c r="D723" t="str">
        <f>VLOOKUP(A723, user_table!$A:$F, 5, FALSE)</f>
        <v>Desktop</v>
      </c>
      <c r="E723" t="str">
        <f>VLOOKUP(A723, user_table!$A:$F, 6, FALSE)</f>
        <v>Social</v>
      </c>
      <c r="F723" s="1" t="str">
        <f>IF(ISNUMBER(MATCH(A723, search_page!$A:$A, 0)), "Yes", "No")</f>
        <v>Yes</v>
      </c>
    </row>
    <row r="724" spans="1:6">
      <c r="A724">
        <v>1723</v>
      </c>
      <c r="B724" s="2">
        <v>45376.568749999999</v>
      </c>
      <c r="C724" t="str">
        <f>VLOOKUP(A724, user_table!$A:$B, 2, FALSE)</f>
        <v>Male</v>
      </c>
      <c r="D724" t="str">
        <f>VLOOKUP(A724, user_table!$A:$F, 5, FALSE)</f>
        <v>Desktop</v>
      </c>
      <c r="E724" t="str">
        <f>VLOOKUP(A724, user_table!$A:$F, 6, FALSE)</f>
        <v>Email</v>
      </c>
      <c r="F724" s="1" t="str">
        <f>IF(ISNUMBER(MATCH(A724, search_page!$A:$A, 0)), "Yes", "No")</f>
        <v>No</v>
      </c>
    </row>
    <row r="725" spans="1:6">
      <c r="A725">
        <v>1724</v>
      </c>
      <c r="B725" s="2">
        <v>45294.300694444442</v>
      </c>
      <c r="C725" t="str">
        <f>VLOOKUP(A725, user_table!$A:$B, 2, FALSE)</f>
        <v>Female</v>
      </c>
      <c r="D725" t="str">
        <f>VLOOKUP(A725, user_table!$A:$F, 5, FALSE)</f>
        <v>Tablet</v>
      </c>
      <c r="E725" t="str">
        <f>VLOOKUP(A725, user_table!$A:$F, 6, FALSE)</f>
        <v>Social</v>
      </c>
      <c r="F725" s="1" t="str">
        <f>IF(ISNUMBER(MATCH(A725, search_page!$A:$A, 0)), "Yes", "No")</f>
        <v>Yes</v>
      </c>
    </row>
    <row r="726" spans="1:6">
      <c r="A726">
        <v>1725</v>
      </c>
      <c r="B726" s="2">
        <v>45300.151388888888</v>
      </c>
      <c r="C726" t="str">
        <f>VLOOKUP(A726, user_table!$A:$B, 2, FALSE)</f>
        <v>Female</v>
      </c>
      <c r="D726" t="str">
        <f>VLOOKUP(A726, user_table!$A:$F, 5, FALSE)</f>
        <v>Desktop</v>
      </c>
      <c r="E726" t="str">
        <f>VLOOKUP(A726, user_table!$A:$F, 6, FALSE)</f>
        <v>Direct</v>
      </c>
      <c r="F726" s="1" t="str">
        <f>IF(ISNUMBER(MATCH(A726, search_page!$A:$A, 0)), "Yes", "No")</f>
        <v>Yes</v>
      </c>
    </row>
    <row r="727" spans="1:6">
      <c r="A727">
        <v>1726</v>
      </c>
      <c r="B727" s="2">
        <v>45296.609722222223</v>
      </c>
      <c r="C727" t="str">
        <f>VLOOKUP(A727, user_table!$A:$B, 2, FALSE)</f>
        <v>Female</v>
      </c>
      <c r="D727" t="str">
        <f>VLOOKUP(A727, user_table!$A:$F, 5, FALSE)</f>
        <v>Mobile</v>
      </c>
      <c r="E727" t="str">
        <f>VLOOKUP(A727, user_table!$A:$F, 6, FALSE)</f>
        <v>Organic</v>
      </c>
      <c r="F727" s="1" t="str">
        <f>IF(ISNUMBER(MATCH(A727, search_page!$A:$A, 0)), "Yes", "No")</f>
        <v>Yes</v>
      </c>
    </row>
    <row r="728" spans="1:6">
      <c r="A728">
        <v>1727</v>
      </c>
      <c r="B728" s="2">
        <v>45378.954861111109</v>
      </c>
      <c r="C728" t="str">
        <f>VLOOKUP(A728, user_table!$A:$B, 2, FALSE)</f>
        <v>Male</v>
      </c>
      <c r="D728" t="str">
        <f>VLOOKUP(A728, user_table!$A:$F, 5, FALSE)</f>
        <v>Desktop</v>
      </c>
      <c r="E728" t="str">
        <f>VLOOKUP(A728, user_table!$A:$F, 6, FALSE)</f>
        <v>Organic</v>
      </c>
      <c r="F728" s="1" t="str">
        <f>IF(ISNUMBER(MATCH(A728, search_page!$A:$A, 0)), "Yes", "No")</f>
        <v>Yes</v>
      </c>
    </row>
    <row r="729" spans="1:6">
      <c r="A729">
        <v>1728</v>
      </c>
      <c r="B729" s="2">
        <v>45298.324305555558</v>
      </c>
      <c r="C729" t="str">
        <f>VLOOKUP(A729, user_table!$A:$B, 2, FALSE)</f>
        <v>Female</v>
      </c>
      <c r="D729" t="str">
        <f>VLOOKUP(A729, user_table!$A:$F, 5, FALSE)</f>
        <v>Mobile</v>
      </c>
      <c r="E729" t="str">
        <f>VLOOKUP(A729, user_table!$A:$F, 6, FALSE)</f>
        <v>Organic</v>
      </c>
      <c r="F729" s="1" t="str">
        <f>IF(ISNUMBER(MATCH(A729, search_page!$A:$A, 0)), "Yes", "No")</f>
        <v>No</v>
      </c>
    </row>
    <row r="730" spans="1:6">
      <c r="A730">
        <v>1729</v>
      </c>
      <c r="B730" s="2">
        <v>45297.519444444442</v>
      </c>
      <c r="C730" t="str">
        <f>VLOOKUP(A730, user_table!$A:$B, 2, FALSE)</f>
        <v>Male</v>
      </c>
      <c r="D730" t="str">
        <f>VLOOKUP(A730, user_table!$A:$F, 5, FALSE)</f>
        <v>Desktop</v>
      </c>
      <c r="E730" t="str">
        <f>VLOOKUP(A730, user_table!$A:$F, 6, FALSE)</f>
        <v>Organic</v>
      </c>
      <c r="F730" s="1" t="str">
        <f>IF(ISNUMBER(MATCH(A730, search_page!$A:$A, 0)), "Yes", "No")</f>
        <v>Yes</v>
      </c>
    </row>
    <row r="731" spans="1:6">
      <c r="A731">
        <v>1730</v>
      </c>
      <c r="B731" s="2">
        <v>45321.717361111114</v>
      </c>
      <c r="C731" t="str">
        <f>VLOOKUP(A731, user_table!$A:$B, 2, FALSE)</f>
        <v>Male</v>
      </c>
      <c r="D731" t="str">
        <f>VLOOKUP(A731, user_table!$A:$F, 5, FALSE)</f>
        <v>Tablet</v>
      </c>
      <c r="E731" t="str">
        <f>VLOOKUP(A731, user_table!$A:$F, 6, FALSE)</f>
        <v>Paid</v>
      </c>
      <c r="F731" s="1" t="str">
        <f>IF(ISNUMBER(MATCH(A731, search_page!$A:$A, 0)), "Yes", "No")</f>
        <v>No</v>
      </c>
    </row>
    <row r="732" spans="1:6">
      <c r="A732">
        <v>1731</v>
      </c>
      <c r="B732" s="2">
        <v>45299.188888888886</v>
      </c>
      <c r="C732" t="str">
        <f>VLOOKUP(A732, user_table!$A:$B, 2, FALSE)</f>
        <v>Male</v>
      </c>
      <c r="D732" t="str">
        <f>VLOOKUP(A732, user_table!$A:$F, 5, FALSE)</f>
        <v>Tablet</v>
      </c>
      <c r="E732" t="str">
        <f>VLOOKUP(A732, user_table!$A:$F, 6, FALSE)</f>
        <v>Social</v>
      </c>
      <c r="F732" s="1" t="str">
        <f>IF(ISNUMBER(MATCH(A732, search_page!$A:$A, 0)), "Yes", "No")</f>
        <v>Yes</v>
      </c>
    </row>
    <row r="733" spans="1:6">
      <c r="A733">
        <v>1732</v>
      </c>
      <c r="B733" s="2">
        <v>45329.327777777777</v>
      </c>
      <c r="C733" t="str">
        <f>VLOOKUP(A733, user_table!$A:$B, 2, FALSE)</f>
        <v>Female</v>
      </c>
      <c r="D733" t="str">
        <f>VLOOKUP(A733, user_table!$A:$F, 5, FALSE)</f>
        <v>Desktop</v>
      </c>
      <c r="E733" t="str">
        <f>VLOOKUP(A733, user_table!$A:$F, 6, FALSE)</f>
        <v>Organic</v>
      </c>
      <c r="F733" s="1" t="str">
        <f>IF(ISNUMBER(MATCH(A733, search_page!$A:$A, 0)), "Yes", "No")</f>
        <v>No</v>
      </c>
    </row>
    <row r="734" spans="1:6">
      <c r="A734">
        <v>1733</v>
      </c>
      <c r="B734" s="2">
        <v>45365.441666666666</v>
      </c>
      <c r="C734" t="str">
        <f>VLOOKUP(A734, user_table!$A:$B, 2, FALSE)</f>
        <v>Female</v>
      </c>
      <c r="D734" t="str">
        <f>VLOOKUP(A734, user_table!$A:$F, 5, FALSE)</f>
        <v>Tablet</v>
      </c>
      <c r="E734" t="str">
        <f>VLOOKUP(A734, user_table!$A:$F, 6, FALSE)</f>
        <v>Direct</v>
      </c>
      <c r="F734" s="1" t="str">
        <f>IF(ISNUMBER(MATCH(A734, search_page!$A:$A, 0)), "Yes", "No")</f>
        <v>No</v>
      </c>
    </row>
    <row r="735" spans="1:6">
      <c r="A735">
        <v>1734</v>
      </c>
      <c r="B735" s="2">
        <v>45368.911111111112</v>
      </c>
      <c r="C735" t="str">
        <f>VLOOKUP(A735, user_table!$A:$B, 2, FALSE)</f>
        <v>Female</v>
      </c>
      <c r="D735" t="str">
        <f>VLOOKUP(A735, user_table!$A:$F, 5, FALSE)</f>
        <v>Tablet</v>
      </c>
      <c r="E735" t="str">
        <f>VLOOKUP(A735, user_table!$A:$F, 6, FALSE)</f>
        <v>Email</v>
      </c>
      <c r="F735" s="1" t="str">
        <f>IF(ISNUMBER(MATCH(A735, search_page!$A:$A, 0)), "Yes", "No")</f>
        <v>Yes</v>
      </c>
    </row>
    <row r="736" spans="1:6">
      <c r="A736">
        <v>1735</v>
      </c>
      <c r="B736" s="2">
        <v>45333.304861111108</v>
      </c>
      <c r="C736" t="str">
        <f>VLOOKUP(A736, user_table!$A:$B, 2, FALSE)</f>
        <v>Male</v>
      </c>
      <c r="D736" t="str">
        <f>VLOOKUP(A736, user_table!$A:$F, 5, FALSE)</f>
        <v>Mobile</v>
      </c>
      <c r="E736" t="str">
        <f>VLOOKUP(A736, user_table!$A:$F, 6, FALSE)</f>
        <v>Organic</v>
      </c>
      <c r="F736" s="1" t="str">
        <f>IF(ISNUMBER(MATCH(A736, search_page!$A:$A, 0)), "Yes", "No")</f>
        <v>Yes</v>
      </c>
    </row>
    <row r="737" spans="1:6">
      <c r="A737">
        <v>1736</v>
      </c>
      <c r="B737" s="2">
        <v>45310.897916666669</v>
      </c>
      <c r="C737" t="str">
        <f>VLOOKUP(A737, user_table!$A:$B, 2, FALSE)</f>
        <v>Female</v>
      </c>
      <c r="D737" t="str">
        <f>VLOOKUP(A737, user_table!$A:$F, 5, FALSE)</f>
        <v>Mobile</v>
      </c>
      <c r="E737" t="str">
        <f>VLOOKUP(A737, user_table!$A:$F, 6, FALSE)</f>
        <v>Organic</v>
      </c>
      <c r="F737" s="1" t="str">
        <f>IF(ISNUMBER(MATCH(A737, search_page!$A:$A, 0)), "Yes", "No")</f>
        <v>Yes</v>
      </c>
    </row>
    <row r="738" spans="1:6">
      <c r="A738">
        <v>1737</v>
      </c>
      <c r="B738" s="2">
        <v>45320.554861111108</v>
      </c>
      <c r="C738" t="str">
        <f>VLOOKUP(A738, user_table!$A:$B, 2, FALSE)</f>
        <v>Male</v>
      </c>
      <c r="D738" t="str">
        <f>VLOOKUP(A738, user_table!$A:$F, 5, FALSE)</f>
        <v>Desktop</v>
      </c>
      <c r="E738" t="str">
        <f>VLOOKUP(A738, user_table!$A:$F, 6, FALSE)</f>
        <v>Organic</v>
      </c>
      <c r="F738" s="1" t="str">
        <f>IF(ISNUMBER(MATCH(A738, search_page!$A:$A, 0)), "Yes", "No")</f>
        <v>Yes</v>
      </c>
    </row>
    <row r="739" spans="1:6">
      <c r="A739">
        <v>1738</v>
      </c>
      <c r="B739" s="2">
        <v>45327.065972222219</v>
      </c>
      <c r="C739" t="str">
        <f>VLOOKUP(A739, user_table!$A:$B, 2, FALSE)</f>
        <v>Female</v>
      </c>
      <c r="D739" t="str">
        <f>VLOOKUP(A739, user_table!$A:$F, 5, FALSE)</f>
        <v>Mobile</v>
      </c>
      <c r="E739" t="str">
        <f>VLOOKUP(A739, user_table!$A:$F, 6, FALSE)</f>
        <v>Organic</v>
      </c>
      <c r="F739" s="1" t="str">
        <f>IF(ISNUMBER(MATCH(A739, search_page!$A:$A, 0)), "Yes", "No")</f>
        <v>No</v>
      </c>
    </row>
    <row r="740" spans="1:6">
      <c r="A740">
        <v>1739</v>
      </c>
      <c r="B740" s="2">
        <v>45367.998611111114</v>
      </c>
      <c r="C740" t="str">
        <f>VLOOKUP(A740, user_table!$A:$B, 2, FALSE)</f>
        <v>Male</v>
      </c>
      <c r="D740" t="str">
        <f>VLOOKUP(A740, user_table!$A:$F, 5, FALSE)</f>
        <v>Desktop</v>
      </c>
      <c r="E740" t="str">
        <f>VLOOKUP(A740, user_table!$A:$F, 6, FALSE)</f>
        <v>Organic</v>
      </c>
      <c r="F740" s="1" t="str">
        <f>IF(ISNUMBER(MATCH(A740, search_page!$A:$A, 0)), "Yes", "No")</f>
        <v>Yes</v>
      </c>
    </row>
    <row r="741" spans="1:6">
      <c r="A741">
        <v>1740</v>
      </c>
      <c r="B741" s="2">
        <v>45314.863194444442</v>
      </c>
      <c r="C741" t="str">
        <f>VLOOKUP(A741, user_table!$A:$B, 2, FALSE)</f>
        <v>Male</v>
      </c>
      <c r="D741" t="str">
        <f>VLOOKUP(A741, user_table!$A:$F, 5, FALSE)</f>
        <v>Desktop</v>
      </c>
      <c r="E741" t="str">
        <f>VLOOKUP(A741, user_table!$A:$F, 6, FALSE)</f>
        <v>Paid</v>
      </c>
      <c r="F741" s="1" t="str">
        <f>IF(ISNUMBER(MATCH(A741, search_page!$A:$A, 0)), "Yes", "No")</f>
        <v>Yes</v>
      </c>
    </row>
    <row r="742" spans="1:6">
      <c r="A742">
        <v>1741</v>
      </c>
      <c r="B742" s="2">
        <v>45346.729861111111</v>
      </c>
      <c r="C742" t="str">
        <f>VLOOKUP(A742, user_table!$A:$B, 2, FALSE)</f>
        <v>Male</v>
      </c>
      <c r="D742" t="str">
        <f>VLOOKUP(A742, user_table!$A:$F, 5, FALSE)</f>
        <v>Tablet</v>
      </c>
      <c r="E742" t="str">
        <f>VLOOKUP(A742, user_table!$A:$F, 6, FALSE)</f>
        <v>Organic</v>
      </c>
      <c r="F742" s="1" t="str">
        <f>IF(ISNUMBER(MATCH(A742, search_page!$A:$A, 0)), "Yes", "No")</f>
        <v>No</v>
      </c>
    </row>
    <row r="743" spans="1:6">
      <c r="A743">
        <v>1742</v>
      </c>
      <c r="B743" s="2">
        <v>45298.486805555556</v>
      </c>
      <c r="C743" t="str">
        <f>VLOOKUP(A743, user_table!$A:$B, 2, FALSE)</f>
        <v>Male</v>
      </c>
      <c r="D743" t="str">
        <f>VLOOKUP(A743, user_table!$A:$F, 5, FALSE)</f>
        <v>Desktop</v>
      </c>
      <c r="E743" t="str">
        <f>VLOOKUP(A743, user_table!$A:$F, 6, FALSE)</f>
        <v>Paid</v>
      </c>
      <c r="F743" s="1" t="str">
        <f>IF(ISNUMBER(MATCH(A743, search_page!$A:$A, 0)), "Yes", "No")</f>
        <v>No</v>
      </c>
    </row>
    <row r="744" spans="1:6">
      <c r="A744">
        <v>1743</v>
      </c>
      <c r="B744" s="2">
        <v>45377.534722222219</v>
      </c>
      <c r="C744" t="str">
        <f>VLOOKUP(A744, user_table!$A:$B, 2, FALSE)</f>
        <v>Female</v>
      </c>
      <c r="D744" t="str">
        <f>VLOOKUP(A744, user_table!$A:$F, 5, FALSE)</f>
        <v>Mobile</v>
      </c>
      <c r="E744" t="str">
        <f>VLOOKUP(A744, user_table!$A:$F, 6, FALSE)</f>
        <v>Direct</v>
      </c>
      <c r="F744" s="1" t="str">
        <f>IF(ISNUMBER(MATCH(A744, search_page!$A:$A, 0)), "Yes", "No")</f>
        <v>No</v>
      </c>
    </row>
    <row r="745" spans="1:6">
      <c r="A745">
        <v>1744</v>
      </c>
      <c r="B745" s="2">
        <v>45359.447222222225</v>
      </c>
      <c r="C745" t="str">
        <f>VLOOKUP(A745, user_table!$A:$B, 2, FALSE)</f>
        <v>Male</v>
      </c>
      <c r="D745" t="str">
        <f>VLOOKUP(A745, user_table!$A:$F, 5, FALSE)</f>
        <v>Mobile</v>
      </c>
      <c r="E745" t="str">
        <f>VLOOKUP(A745, user_table!$A:$F, 6, FALSE)</f>
        <v>Social</v>
      </c>
      <c r="F745" s="1" t="str">
        <f>IF(ISNUMBER(MATCH(A745, search_page!$A:$A, 0)), "Yes", "No")</f>
        <v>Yes</v>
      </c>
    </row>
    <row r="746" spans="1:6">
      <c r="A746">
        <v>1745</v>
      </c>
      <c r="B746" s="2">
        <v>45345.54791666667</v>
      </c>
      <c r="C746" t="str">
        <f>VLOOKUP(A746, user_table!$A:$B, 2, FALSE)</f>
        <v>Male</v>
      </c>
      <c r="D746" t="str">
        <f>VLOOKUP(A746, user_table!$A:$F, 5, FALSE)</f>
        <v>Tablet</v>
      </c>
      <c r="E746" t="str">
        <f>VLOOKUP(A746, user_table!$A:$F, 6, FALSE)</f>
        <v>Direct</v>
      </c>
      <c r="F746" s="1" t="str">
        <f>IF(ISNUMBER(MATCH(A746, search_page!$A:$A, 0)), "Yes", "No")</f>
        <v>No</v>
      </c>
    </row>
    <row r="747" spans="1:6">
      <c r="A747">
        <v>1746</v>
      </c>
      <c r="B747" s="2">
        <v>45330.507638888892</v>
      </c>
      <c r="C747" t="str">
        <f>VLOOKUP(A747, user_table!$A:$B, 2, FALSE)</f>
        <v>Female</v>
      </c>
      <c r="D747" t="str">
        <f>VLOOKUP(A747, user_table!$A:$F, 5, FALSE)</f>
        <v>Tablet</v>
      </c>
      <c r="E747" t="str">
        <f>VLOOKUP(A747, user_table!$A:$F, 6, FALSE)</f>
        <v>Organic</v>
      </c>
      <c r="F747" s="1" t="str">
        <f>IF(ISNUMBER(MATCH(A747, search_page!$A:$A, 0)), "Yes", "No")</f>
        <v>Yes</v>
      </c>
    </row>
    <row r="748" spans="1:6">
      <c r="A748">
        <v>1747</v>
      </c>
      <c r="B748" s="2">
        <v>45360.635416666664</v>
      </c>
      <c r="C748" t="str">
        <f>VLOOKUP(A748, user_table!$A:$B, 2, FALSE)</f>
        <v>Male</v>
      </c>
      <c r="D748" t="str">
        <f>VLOOKUP(A748, user_table!$A:$F, 5, FALSE)</f>
        <v>Desktop</v>
      </c>
      <c r="E748" t="str">
        <f>VLOOKUP(A748, user_table!$A:$F, 6, FALSE)</f>
        <v>Paid</v>
      </c>
      <c r="F748" s="1" t="str">
        <f>IF(ISNUMBER(MATCH(A748, search_page!$A:$A, 0)), "Yes", "No")</f>
        <v>Yes</v>
      </c>
    </row>
    <row r="749" spans="1:6">
      <c r="A749">
        <v>1748</v>
      </c>
      <c r="B749" s="2">
        <v>45320.412499999999</v>
      </c>
      <c r="C749" t="str">
        <f>VLOOKUP(A749, user_table!$A:$B, 2, FALSE)</f>
        <v>Female</v>
      </c>
      <c r="D749" t="str">
        <f>VLOOKUP(A749, user_table!$A:$F, 5, FALSE)</f>
        <v>Desktop</v>
      </c>
      <c r="E749" t="str">
        <f>VLOOKUP(A749, user_table!$A:$F, 6, FALSE)</f>
        <v>Social</v>
      </c>
      <c r="F749" s="1" t="str">
        <f>IF(ISNUMBER(MATCH(A749, search_page!$A:$A, 0)), "Yes", "No")</f>
        <v>Yes</v>
      </c>
    </row>
    <row r="750" spans="1:6">
      <c r="A750">
        <v>1749</v>
      </c>
      <c r="B750" s="2">
        <v>45310.623611111114</v>
      </c>
      <c r="C750" t="str">
        <f>VLOOKUP(A750, user_table!$A:$B, 2, FALSE)</f>
        <v>Female</v>
      </c>
      <c r="D750" t="str">
        <f>VLOOKUP(A750, user_table!$A:$F, 5, FALSE)</f>
        <v>Desktop</v>
      </c>
      <c r="E750" t="str">
        <f>VLOOKUP(A750, user_table!$A:$F, 6, FALSE)</f>
        <v>Organic</v>
      </c>
      <c r="F750" s="1" t="str">
        <f>IF(ISNUMBER(MATCH(A750, search_page!$A:$A, 0)), "Yes", "No")</f>
        <v>No</v>
      </c>
    </row>
    <row r="751" spans="1:6">
      <c r="A751">
        <v>1750</v>
      </c>
      <c r="B751" s="2">
        <v>45299.726388888892</v>
      </c>
      <c r="C751" t="str">
        <f>VLOOKUP(A751, user_table!$A:$B, 2, FALSE)</f>
        <v>Female</v>
      </c>
      <c r="D751" t="str">
        <f>VLOOKUP(A751, user_table!$A:$F, 5, FALSE)</f>
        <v>Desktop</v>
      </c>
      <c r="E751" t="str">
        <f>VLOOKUP(A751, user_table!$A:$F, 6, FALSE)</f>
        <v>Organic</v>
      </c>
      <c r="F751" s="1" t="str">
        <f>IF(ISNUMBER(MATCH(A751, search_page!$A:$A, 0)), "Yes", "No")</f>
        <v>Yes</v>
      </c>
    </row>
    <row r="752" spans="1:6">
      <c r="A752">
        <v>1751</v>
      </c>
      <c r="B752" s="2">
        <v>45345.731249999997</v>
      </c>
      <c r="C752" t="str">
        <f>VLOOKUP(A752, user_table!$A:$B, 2, FALSE)</f>
        <v>Male</v>
      </c>
      <c r="D752" t="str">
        <f>VLOOKUP(A752, user_table!$A:$F, 5, FALSE)</f>
        <v>Desktop</v>
      </c>
      <c r="E752" t="str">
        <f>VLOOKUP(A752, user_table!$A:$F, 6, FALSE)</f>
        <v>Social</v>
      </c>
      <c r="F752" s="1" t="str">
        <f>IF(ISNUMBER(MATCH(A752, search_page!$A:$A, 0)), "Yes", "No")</f>
        <v>No</v>
      </c>
    </row>
    <row r="753" spans="1:6">
      <c r="A753">
        <v>1752</v>
      </c>
      <c r="B753" s="2">
        <v>45309.510416666664</v>
      </c>
      <c r="C753" t="str">
        <f>VLOOKUP(A753, user_table!$A:$B, 2, FALSE)</f>
        <v>Female</v>
      </c>
      <c r="D753" t="str">
        <f>VLOOKUP(A753, user_table!$A:$F, 5, FALSE)</f>
        <v>Desktop</v>
      </c>
      <c r="E753" t="str">
        <f>VLOOKUP(A753, user_table!$A:$F, 6, FALSE)</f>
        <v>Social</v>
      </c>
      <c r="F753" s="1" t="str">
        <f>IF(ISNUMBER(MATCH(A753, search_page!$A:$A, 0)), "Yes", "No")</f>
        <v>Yes</v>
      </c>
    </row>
    <row r="754" spans="1:6">
      <c r="A754">
        <v>1753</v>
      </c>
      <c r="B754" s="2">
        <v>45324.26458333333</v>
      </c>
      <c r="C754" t="str">
        <f>VLOOKUP(A754, user_table!$A:$B, 2, FALSE)</f>
        <v>Female</v>
      </c>
      <c r="D754" t="str">
        <f>VLOOKUP(A754, user_table!$A:$F, 5, FALSE)</f>
        <v>Mobile</v>
      </c>
      <c r="E754" t="str">
        <f>VLOOKUP(A754, user_table!$A:$F, 6, FALSE)</f>
        <v>Paid</v>
      </c>
      <c r="F754" s="1" t="str">
        <f>IF(ISNUMBER(MATCH(A754, search_page!$A:$A, 0)), "Yes", "No")</f>
        <v>No</v>
      </c>
    </row>
    <row r="755" spans="1:6">
      <c r="A755">
        <v>1754</v>
      </c>
      <c r="B755" s="2">
        <v>45374.124305555553</v>
      </c>
      <c r="C755" t="str">
        <f>VLOOKUP(A755, user_table!$A:$B, 2, FALSE)</f>
        <v>Male</v>
      </c>
      <c r="D755" t="str">
        <f>VLOOKUP(A755, user_table!$A:$F, 5, FALSE)</f>
        <v>Mobile</v>
      </c>
      <c r="E755" t="str">
        <f>VLOOKUP(A755, user_table!$A:$F, 6, FALSE)</f>
        <v>Paid</v>
      </c>
      <c r="F755" s="1" t="str">
        <f>IF(ISNUMBER(MATCH(A755, search_page!$A:$A, 0)), "Yes", "No")</f>
        <v>Yes</v>
      </c>
    </row>
    <row r="756" spans="1:6">
      <c r="A756">
        <v>1755</v>
      </c>
      <c r="B756" s="2">
        <v>45349.461805555555</v>
      </c>
      <c r="C756" t="str">
        <f>VLOOKUP(A756, user_table!$A:$B, 2, FALSE)</f>
        <v>Male</v>
      </c>
      <c r="D756" t="str">
        <f>VLOOKUP(A756, user_table!$A:$F, 5, FALSE)</f>
        <v>Desktop</v>
      </c>
      <c r="E756" t="str">
        <f>VLOOKUP(A756, user_table!$A:$F, 6, FALSE)</f>
        <v>Paid</v>
      </c>
      <c r="F756" s="1" t="str">
        <f>IF(ISNUMBER(MATCH(A756, search_page!$A:$A, 0)), "Yes", "No")</f>
        <v>Yes</v>
      </c>
    </row>
    <row r="757" spans="1:6">
      <c r="A757">
        <v>1756</v>
      </c>
      <c r="B757" s="2">
        <v>45360.995138888888</v>
      </c>
      <c r="C757" t="str">
        <f>VLOOKUP(A757, user_table!$A:$B, 2, FALSE)</f>
        <v>Female</v>
      </c>
      <c r="D757" t="str">
        <f>VLOOKUP(A757, user_table!$A:$F, 5, FALSE)</f>
        <v>Mobile</v>
      </c>
      <c r="E757" t="str">
        <f>VLOOKUP(A757, user_table!$A:$F, 6, FALSE)</f>
        <v>Organic</v>
      </c>
      <c r="F757" s="1" t="str">
        <f>IF(ISNUMBER(MATCH(A757, search_page!$A:$A, 0)), "Yes", "No")</f>
        <v>Yes</v>
      </c>
    </row>
    <row r="758" spans="1:6">
      <c r="A758">
        <v>1757</v>
      </c>
      <c r="B758" s="2">
        <v>45316.053472222222</v>
      </c>
      <c r="C758" t="str">
        <f>VLOOKUP(A758, user_table!$A:$B, 2, FALSE)</f>
        <v>Female</v>
      </c>
      <c r="D758" t="str">
        <f>VLOOKUP(A758, user_table!$A:$F, 5, FALSE)</f>
        <v>Desktop</v>
      </c>
      <c r="E758" t="str">
        <f>VLOOKUP(A758, user_table!$A:$F, 6, FALSE)</f>
        <v>Paid</v>
      </c>
      <c r="F758" s="1" t="str">
        <f>IF(ISNUMBER(MATCH(A758, search_page!$A:$A, 0)), "Yes", "No")</f>
        <v>Yes</v>
      </c>
    </row>
    <row r="759" spans="1:6">
      <c r="A759">
        <v>1758</v>
      </c>
      <c r="B759" s="2">
        <v>45340.901388888888</v>
      </c>
      <c r="C759" t="str">
        <f>VLOOKUP(A759, user_table!$A:$B, 2, FALSE)</f>
        <v>Female</v>
      </c>
      <c r="D759" t="str">
        <f>VLOOKUP(A759, user_table!$A:$F, 5, FALSE)</f>
        <v>Desktop</v>
      </c>
      <c r="E759" t="str">
        <f>VLOOKUP(A759, user_table!$A:$F, 6, FALSE)</f>
        <v>Organic</v>
      </c>
      <c r="F759" s="1" t="str">
        <f>IF(ISNUMBER(MATCH(A759, search_page!$A:$A, 0)), "Yes", "No")</f>
        <v>No</v>
      </c>
    </row>
    <row r="760" spans="1:6">
      <c r="A760">
        <v>1759</v>
      </c>
      <c r="B760" s="2">
        <v>45369.079861111109</v>
      </c>
      <c r="C760" t="str">
        <f>VLOOKUP(A760, user_table!$A:$B, 2, FALSE)</f>
        <v>Female</v>
      </c>
      <c r="D760" t="str">
        <f>VLOOKUP(A760, user_table!$A:$F, 5, FALSE)</f>
        <v>Mobile</v>
      </c>
      <c r="E760" t="str">
        <f>VLOOKUP(A760, user_table!$A:$F, 6, FALSE)</f>
        <v>Organic</v>
      </c>
      <c r="F760" s="1" t="str">
        <f>IF(ISNUMBER(MATCH(A760, search_page!$A:$A, 0)), "Yes", "No")</f>
        <v>Yes</v>
      </c>
    </row>
    <row r="761" spans="1:6">
      <c r="A761">
        <v>1760</v>
      </c>
      <c r="B761" s="2">
        <v>45301.285416666666</v>
      </c>
      <c r="C761" t="str">
        <f>VLOOKUP(A761, user_table!$A:$B, 2, FALSE)</f>
        <v>Female</v>
      </c>
      <c r="D761" t="str">
        <f>VLOOKUP(A761, user_table!$A:$F, 5, FALSE)</f>
        <v>Mobile</v>
      </c>
      <c r="E761" t="str">
        <f>VLOOKUP(A761, user_table!$A:$F, 6, FALSE)</f>
        <v>Direct</v>
      </c>
      <c r="F761" s="1" t="str">
        <f>IF(ISNUMBER(MATCH(A761, search_page!$A:$A, 0)), "Yes", "No")</f>
        <v>Yes</v>
      </c>
    </row>
    <row r="762" spans="1:6">
      <c r="A762">
        <v>1761</v>
      </c>
      <c r="B762" s="2">
        <v>45367.987500000003</v>
      </c>
      <c r="C762" t="str">
        <f>VLOOKUP(A762, user_table!$A:$B, 2, FALSE)</f>
        <v>Male</v>
      </c>
      <c r="D762" t="str">
        <f>VLOOKUP(A762, user_table!$A:$F, 5, FALSE)</f>
        <v>Mobile</v>
      </c>
      <c r="E762" t="str">
        <f>VLOOKUP(A762, user_table!$A:$F, 6, FALSE)</f>
        <v>Social</v>
      </c>
      <c r="F762" s="1" t="str">
        <f>IF(ISNUMBER(MATCH(A762, search_page!$A:$A, 0)), "Yes", "No")</f>
        <v>No</v>
      </c>
    </row>
    <row r="763" spans="1:6">
      <c r="A763">
        <v>1762</v>
      </c>
      <c r="B763" s="2">
        <v>45363.270833333336</v>
      </c>
      <c r="C763" t="str">
        <f>VLOOKUP(A763, user_table!$A:$B, 2, FALSE)</f>
        <v>Male</v>
      </c>
      <c r="D763" t="str">
        <f>VLOOKUP(A763, user_table!$A:$F, 5, FALSE)</f>
        <v>Desktop</v>
      </c>
      <c r="E763" t="str">
        <f>VLOOKUP(A763, user_table!$A:$F, 6, FALSE)</f>
        <v>Social</v>
      </c>
      <c r="F763" s="1" t="str">
        <f>IF(ISNUMBER(MATCH(A763, search_page!$A:$A, 0)), "Yes", "No")</f>
        <v>No</v>
      </c>
    </row>
    <row r="764" spans="1:6">
      <c r="A764">
        <v>1763</v>
      </c>
      <c r="B764" s="2">
        <v>45318.429861111108</v>
      </c>
      <c r="C764" t="str">
        <f>VLOOKUP(A764, user_table!$A:$B, 2, FALSE)</f>
        <v>Male</v>
      </c>
      <c r="D764" t="str">
        <f>VLOOKUP(A764, user_table!$A:$F, 5, FALSE)</f>
        <v>Mobile</v>
      </c>
      <c r="E764" t="str">
        <f>VLOOKUP(A764, user_table!$A:$F, 6, FALSE)</f>
        <v>Paid</v>
      </c>
      <c r="F764" s="1" t="str">
        <f>IF(ISNUMBER(MATCH(A764, search_page!$A:$A, 0)), "Yes", "No")</f>
        <v>Yes</v>
      </c>
    </row>
    <row r="765" spans="1:6">
      <c r="A765">
        <v>1764</v>
      </c>
      <c r="B765" s="2">
        <v>45293.290972222225</v>
      </c>
      <c r="C765" t="str">
        <f>VLOOKUP(A765, user_table!$A:$B, 2, FALSE)</f>
        <v>Female</v>
      </c>
      <c r="D765" t="str">
        <f>VLOOKUP(A765, user_table!$A:$F, 5, FALSE)</f>
        <v>Mobile</v>
      </c>
      <c r="E765" t="str">
        <f>VLOOKUP(A765, user_table!$A:$F, 6, FALSE)</f>
        <v>Paid</v>
      </c>
      <c r="F765" s="1" t="str">
        <f>IF(ISNUMBER(MATCH(A765, search_page!$A:$A, 0)), "Yes", "No")</f>
        <v>No</v>
      </c>
    </row>
    <row r="766" spans="1:6">
      <c r="A766">
        <v>1765</v>
      </c>
      <c r="B766" s="2">
        <v>45316.963194444441</v>
      </c>
      <c r="C766" t="str">
        <f>VLOOKUP(A766, user_table!$A:$B, 2, FALSE)</f>
        <v>Male</v>
      </c>
      <c r="D766" t="str">
        <f>VLOOKUP(A766, user_table!$A:$F, 5, FALSE)</f>
        <v>Mobile</v>
      </c>
      <c r="E766" t="str">
        <f>VLOOKUP(A766, user_table!$A:$F, 6, FALSE)</f>
        <v>Organic</v>
      </c>
      <c r="F766" s="1" t="str">
        <f>IF(ISNUMBER(MATCH(A766, search_page!$A:$A, 0)), "Yes", "No")</f>
        <v>Yes</v>
      </c>
    </row>
    <row r="767" spans="1:6">
      <c r="A767">
        <v>1766</v>
      </c>
      <c r="B767" s="2">
        <v>45353.322222222225</v>
      </c>
      <c r="C767" t="str">
        <f>VLOOKUP(A767, user_table!$A:$B, 2, FALSE)</f>
        <v>Female</v>
      </c>
      <c r="D767" t="str">
        <f>VLOOKUP(A767, user_table!$A:$F, 5, FALSE)</f>
        <v>Mobile</v>
      </c>
      <c r="E767" t="str">
        <f>VLOOKUP(A767, user_table!$A:$F, 6, FALSE)</f>
        <v>Organic</v>
      </c>
      <c r="F767" s="1" t="str">
        <f>IF(ISNUMBER(MATCH(A767, search_page!$A:$A, 0)), "Yes", "No")</f>
        <v>No</v>
      </c>
    </row>
    <row r="768" spans="1:6">
      <c r="A768">
        <v>1767</v>
      </c>
      <c r="B768" s="2">
        <v>45369.925694444442</v>
      </c>
      <c r="C768" t="str">
        <f>VLOOKUP(A768, user_table!$A:$B, 2, FALSE)</f>
        <v>Female</v>
      </c>
      <c r="D768" t="str">
        <f>VLOOKUP(A768, user_table!$A:$F, 5, FALSE)</f>
        <v>Tablet</v>
      </c>
      <c r="E768" t="str">
        <f>VLOOKUP(A768, user_table!$A:$F, 6, FALSE)</f>
        <v>Organic</v>
      </c>
      <c r="F768" s="1" t="str">
        <f>IF(ISNUMBER(MATCH(A768, search_page!$A:$A, 0)), "Yes", "No")</f>
        <v>Yes</v>
      </c>
    </row>
    <row r="769" spans="1:6">
      <c r="A769">
        <v>1768</v>
      </c>
      <c r="B769" s="2">
        <v>45342.315972222219</v>
      </c>
      <c r="C769" t="str">
        <f>VLOOKUP(A769, user_table!$A:$B, 2, FALSE)</f>
        <v>Female</v>
      </c>
      <c r="D769" t="str">
        <f>VLOOKUP(A769, user_table!$A:$F, 5, FALSE)</f>
        <v>Mobile</v>
      </c>
      <c r="E769" t="str">
        <f>VLOOKUP(A769, user_table!$A:$F, 6, FALSE)</f>
        <v>Email</v>
      </c>
      <c r="F769" s="1" t="str">
        <f>IF(ISNUMBER(MATCH(A769, search_page!$A:$A, 0)), "Yes", "No")</f>
        <v>Yes</v>
      </c>
    </row>
    <row r="770" spans="1:6">
      <c r="A770">
        <v>1769</v>
      </c>
      <c r="B770" s="2">
        <v>45333.39166666667</v>
      </c>
      <c r="C770" t="str">
        <f>VLOOKUP(A770, user_table!$A:$B, 2, FALSE)</f>
        <v>Male</v>
      </c>
      <c r="D770" t="str">
        <f>VLOOKUP(A770, user_table!$A:$F, 5, FALSE)</f>
        <v>Mobile</v>
      </c>
      <c r="E770" t="str">
        <f>VLOOKUP(A770, user_table!$A:$F, 6, FALSE)</f>
        <v>Social</v>
      </c>
      <c r="F770" s="1" t="str">
        <f>IF(ISNUMBER(MATCH(A770, search_page!$A:$A, 0)), "Yes", "No")</f>
        <v>Yes</v>
      </c>
    </row>
    <row r="771" spans="1:6">
      <c r="A771">
        <v>1770</v>
      </c>
      <c r="B771" s="2">
        <v>45351.736805555556</v>
      </c>
      <c r="C771" t="str">
        <f>VLOOKUP(A771, user_table!$A:$B, 2, FALSE)</f>
        <v>Female</v>
      </c>
      <c r="D771" t="str">
        <f>VLOOKUP(A771, user_table!$A:$F, 5, FALSE)</f>
        <v>Tablet</v>
      </c>
      <c r="E771" t="str">
        <f>VLOOKUP(A771, user_table!$A:$F, 6, FALSE)</f>
        <v>Paid</v>
      </c>
      <c r="F771" s="1" t="str">
        <f>IF(ISNUMBER(MATCH(A771, search_page!$A:$A, 0)), "Yes", "No")</f>
        <v>No</v>
      </c>
    </row>
    <row r="772" spans="1:6">
      <c r="A772">
        <v>1771</v>
      </c>
      <c r="B772" s="2">
        <v>45337.386111111111</v>
      </c>
      <c r="C772" t="str">
        <f>VLOOKUP(A772, user_table!$A:$B, 2, FALSE)</f>
        <v>Male</v>
      </c>
      <c r="D772" t="str">
        <f>VLOOKUP(A772, user_table!$A:$F, 5, FALSE)</f>
        <v>Mobile</v>
      </c>
      <c r="E772" t="str">
        <f>VLOOKUP(A772, user_table!$A:$F, 6, FALSE)</f>
        <v>Paid</v>
      </c>
      <c r="F772" s="1" t="str">
        <f>IF(ISNUMBER(MATCH(A772, search_page!$A:$A, 0)), "Yes", "No")</f>
        <v>No</v>
      </c>
    </row>
    <row r="773" spans="1:6">
      <c r="A773">
        <v>1772</v>
      </c>
      <c r="B773" s="2">
        <v>45338.705555555556</v>
      </c>
      <c r="C773" t="str">
        <f>VLOOKUP(A773, user_table!$A:$B, 2, FALSE)</f>
        <v>Female</v>
      </c>
      <c r="D773" t="str">
        <f>VLOOKUP(A773, user_table!$A:$F, 5, FALSE)</f>
        <v>Desktop</v>
      </c>
      <c r="E773" t="str">
        <f>VLOOKUP(A773, user_table!$A:$F, 6, FALSE)</f>
        <v>Direct</v>
      </c>
      <c r="F773" s="1" t="str">
        <f>IF(ISNUMBER(MATCH(A773, search_page!$A:$A, 0)), "Yes", "No")</f>
        <v>No</v>
      </c>
    </row>
    <row r="774" spans="1:6">
      <c r="A774">
        <v>1773</v>
      </c>
      <c r="B774" s="2">
        <v>45355.587500000001</v>
      </c>
      <c r="C774" t="str">
        <f>VLOOKUP(A774, user_table!$A:$B, 2, FALSE)</f>
        <v>Male</v>
      </c>
      <c r="D774" t="str">
        <f>VLOOKUP(A774, user_table!$A:$F, 5, FALSE)</f>
        <v>Mobile</v>
      </c>
      <c r="E774" t="str">
        <f>VLOOKUP(A774, user_table!$A:$F, 6, FALSE)</f>
        <v>Organic</v>
      </c>
      <c r="F774" s="1" t="str">
        <f>IF(ISNUMBER(MATCH(A774, search_page!$A:$A, 0)), "Yes", "No")</f>
        <v>No</v>
      </c>
    </row>
    <row r="775" spans="1:6">
      <c r="A775">
        <v>1774</v>
      </c>
      <c r="B775" s="2">
        <v>45352.456944444442</v>
      </c>
      <c r="C775" t="str">
        <f>VLOOKUP(A775, user_table!$A:$B, 2, FALSE)</f>
        <v>Male</v>
      </c>
      <c r="D775" t="str">
        <f>VLOOKUP(A775, user_table!$A:$F, 5, FALSE)</f>
        <v>Desktop</v>
      </c>
      <c r="E775" t="str">
        <f>VLOOKUP(A775, user_table!$A:$F, 6, FALSE)</f>
        <v>Organic</v>
      </c>
      <c r="F775" s="1" t="str">
        <f>IF(ISNUMBER(MATCH(A775, search_page!$A:$A, 0)), "Yes", "No")</f>
        <v>Yes</v>
      </c>
    </row>
    <row r="776" spans="1:6">
      <c r="A776">
        <v>1775</v>
      </c>
      <c r="B776" s="2">
        <v>45318.472222222219</v>
      </c>
      <c r="C776" t="str">
        <f>VLOOKUP(A776, user_table!$A:$B, 2, FALSE)</f>
        <v>Female</v>
      </c>
      <c r="D776" t="str">
        <f>VLOOKUP(A776, user_table!$A:$F, 5, FALSE)</f>
        <v>Desktop</v>
      </c>
      <c r="E776" t="str">
        <f>VLOOKUP(A776, user_table!$A:$F, 6, FALSE)</f>
        <v>Paid</v>
      </c>
      <c r="F776" s="1" t="str">
        <f>IF(ISNUMBER(MATCH(A776, search_page!$A:$A, 0)), "Yes", "No")</f>
        <v>No</v>
      </c>
    </row>
    <row r="777" spans="1:6">
      <c r="A777">
        <v>1776</v>
      </c>
      <c r="B777" s="2">
        <v>45344.066666666666</v>
      </c>
      <c r="C777" t="str">
        <f>VLOOKUP(A777, user_table!$A:$B, 2, FALSE)</f>
        <v>Male</v>
      </c>
      <c r="D777" t="str">
        <f>VLOOKUP(A777, user_table!$A:$F, 5, FALSE)</f>
        <v>Mobile</v>
      </c>
      <c r="E777" t="str">
        <f>VLOOKUP(A777, user_table!$A:$F, 6, FALSE)</f>
        <v>Email</v>
      </c>
      <c r="F777" s="1" t="str">
        <f>IF(ISNUMBER(MATCH(A777, search_page!$A:$A, 0)), "Yes", "No")</f>
        <v>No</v>
      </c>
    </row>
    <row r="778" spans="1:6">
      <c r="A778">
        <v>1777</v>
      </c>
      <c r="B778" s="2">
        <v>45320.964583333334</v>
      </c>
      <c r="C778" t="str">
        <f>VLOOKUP(A778, user_table!$A:$B, 2, FALSE)</f>
        <v>Male</v>
      </c>
      <c r="D778" t="str">
        <f>VLOOKUP(A778, user_table!$A:$F, 5, FALSE)</f>
        <v>Tablet</v>
      </c>
      <c r="E778" t="str">
        <f>VLOOKUP(A778, user_table!$A:$F, 6, FALSE)</f>
        <v>Direct</v>
      </c>
      <c r="F778" s="1" t="str">
        <f>IF(ISNUMBER(MATCH(A778, search_page!$A:$A, 0)), "Yes", "No")</f>
        <v>No</v>
      </c>
    </row>
    <row r="779" spans="1:6">
      <c r="A779">
        <v>1778</v>
      </c>
      <c r="B779" s="2">
        <v>45294.357638888891</v>
      </c>
      <c r="C779" t="str">
        <f>VLOOKUP(A779, user_table!$A:$B, 2, FALSE)</f>
        <v>Female</v>
      </c>
      <c r="D779" t="str">
        <f>VLOOKUP(A779, user_table!$A:$F, 5, FALSE)</f>
        <v>Tablet</v>
      </c>
      <c r="E779" t="str">
        <f>VLOOKUP(A779, user_table!$A:$F, 6, FALSE)</f>
        <v>Organic</v>
      </c>
      <c r="F779" s="1" t="str">
        <f>IF(ISNUMBER(MATCH(A779, search_page!$A:$A, 0)), "Yes", "No")</f>
        <v>Yes</v>
      </c>
    </row>
    <row r="780" spans="1:6">
      <c r="A780">
        <v>1779</v>
      </c>
      <c r="B780" s="2">
        <v>45366.781944444447</v>
      </c>
      <c r="C780" t="str">
        <f>VLOOKUP(A780, user_table!$A:$B, 2, FALSE)</f>
        <v>Female</v>
      </c>
      <c r="D780" t="str">
        <f>VLOOKUP(A780, user_table!$A:$F, 5, FALSE)</f>
        <v>Desktop</v>
      </c>
      <c r="E780" t="str">
        <f>VLOOKUP(A780, user_table!$A:$F, 6, FALSE)</f>
        <v>Email</v>
      </c>
      <c r="F780" s="1" t="str">
        <f>IF(ISNUMBER(MATCH(A780, search_page!$A:$A, 0)), "Yes", "No")</f>
        <v>Yes</v>
      </c>
    </row>
    <row r="781" spans="1:6">
      <c r="A781">
        <v>1780</v>
      </c>
      <c r="B781" s="2">
        <v>45345.381249999999</v>
      </c>
      <c r="C781" t="str">
        <f>VLOOKUP(A781, user_table!$A:$B, 2, FALSE)</f>
        <v>Female</v>
      </c>
      <c r="D781" t="str">
        <f>VLOOKUP(A781, user_table!$A:$F, 5, FALSE)</f>
        <v>Mobile</v>
      </c>
      <c r="E781" t="str">
        <f>VLOOKUP(A781, user_table!$A:$F, 6, FALSE)</f>
        <v>Email</v>
      </c>
      <c r="F781" s="1" t="str">
        <f>IF(ISNUMBER(MATCH(A781, search_page!$A:$A, 0)), "Yes", "No")</f>
        <v>Yes</v>
      </c>
    </row>
    <row r="782" spans="1:6">
      <c r="A782">
        <v>1781</v>
      </c>
      <c r="B782" s="2">
        <v>45317.426388888889</v>
      </c>
      <c r="C782" t="str">
        <f>VLOOKUP(A782, user_table!$A:$B, 2, FALSE)</f>
        <v>Female</v>
      </c>
      <c r="D782" t="str">
        <f>VLOOKUP(A782, user_table!$A:$F, 5, FALSE)</f>
        <v>Desktop</v>
      </c>
      <c r="E782" t="str">
        <f>VLOOKUP(A782, user_table!$A:$F, 6, FALSE)</f>
        <v>Organic</v>
      </c>
      <c r="F782" s="1" t="str">
        <f>IF(ISNUMBER(MATCH(A782, search_page!$A:$A, 0)), "Yes", "No")</f>
        <v>Yes</v>
      </c>
    </row>
    <row r="783" spans="1:6">
      <c r="A783">
        <v>1782</v>
      </c>
      <c r="B783" s="2">
        <v>45340.786805555559</v>
      </c>
      <c r="C783" t="str">
        <f>VLOOKUP(A783, user_table!$A:$B, 2, FALSE)</f>
        <v>Female</v>
      </c>
      <c r="D783" t="str">
        <f>VLOOKUP(A783, user_table!$A:$F, 5, FALSE)</f>
        <v>Tablet</v>
      </c>
      <c r="E783" t="str">
        <f>VLOOKUP(A783, user_table!$A:$F, 6, FALSE)</f>
        <v>Paid</v>
      </c>
      <c r="F783" s="1" t="str">
        <f>IF(ISNUMBER(MATCH(A783, search_page!$A:$A, 0)), "Yes", "No")</f>
        <v>Yes</v>
      </c>
    </row>
    <row r="784" spans="1:6">
      <c r="A784">
        <v>1783</v>
      </c>
      <c r="B784" s="2">
        <v>45323.649305555555</v>
      </c>
      <c r="C784" t="str">
        <f>VLOOKUP(A784, user_table!$A:$B, 2, FALSE)</f>
        <v>Male</v>
      </c>
      <c r="D784" t="str">
        <f>VLOOKUP(A784, user_table!$A:$F, 5, FALSE)</f>
        <v>Tablet</v>
      </c>
      <c r="E784" t="str">
        <f>VLOOKUP(A784, user_table!$A:$F, 6, FALSE)</f>
        <v>Paid</v>
      </c>
      <c r="F784" s="1" t="str">
        <f>IF(ISNUMBER(MATCH(A784, search_page!$A:$A, 0)), "Yes", "No")</f>
        <v>Yes</v>
      </c>
    </row>
    <row r="785" spans="1:6">
      <c r="A785">
        <v>1784</v>
      </c>
      <c r="B785" s="2">
        <v>45375.88958333333</v>
      </c>
      <c r="C785" t="str">
        <f>VLOOKUP(A785, user_table!$A:$B, 2, FALSE)</f>
        <v>Male</v>
      </c>
      <c r="D785" t="str">
        <f>VLOOKUP(A785, user_table!$A:$F, 5, FALSE)</f>
        <v>Mobile</v>
      </c>
      <c r="E785" t="str">
        <f>VLOOKUP(A785, user_table!$A:$F, 6, FALSE)</f>
        <v>Direct</v>
      </c>
      <c r="F785" s="1" t="str">
        <f>IF(ISNUMBER(MATCH(A785, search_page!$A:$A, 0)), "Yes", "No")</f>
        <v>Yes</v>
      </c>
    </row>
    <row r="786" spans="1:6">
      <c r="A786">
        <v>1785</v>
      </c>
      <c r="B786" s="2">
        <v>45324.656944444447</v>
      </c>
      <c r="C786" t="str">
        <f>VLOOKUP(A786, user_table!$A:$B, 2, FALSE)</f>
        <v>Male</v>
      </c>
      <c r="D786" t="str">
        <f>VLOOKUP(A786, user_table!$A:$F, 5, FALSE)</f>
        <v>Mobile</v>
      </c>
      <c r="E786" t="str">
        <f>VLOOKUP(A786, user_table!$A:$F, 6, FALSE)</f>
        <v>Organic</v>
      </c>
      <c r="F786" s="1" t="str">
        <f>IF(ISNUMBER(MATCH(A786, search_page!$A:$A, 0)), "Yes", "No")</f>
        <v>Yes</v>
      </c>
    </row>
    <row r="787" spans="1:6">
      <c r="A787">
        <v>1786</v>
      </c>
      <c r="B787" s="2">
        <v>45374.979861111111</v>
      </c>
      <c r="C787" t="str">
        <f>VLOOKUP(A787, user_table!$A:$B, 2, FALSE)</f>
        <v>Female</v>
      </c>
      <c r="D787" t="str">
        <f>VLOOKUP(A787, user_table!$A:$F, 5, FALSE)</f>
        <v>Mobile</v>
      </c>
      <c r="E787" t="str">
        <f>VLOOKUP(A787, user_table!$A:$F, 6, FALSE)</f>
        <v>Email</v>
      </c>
      <c r="F787" s="1" t="str">
        <f>IF(ISNUMBER(MATCH(A787, search_page!$A:$A, 0)), "Yes", "No")</f>
        <v>Yes</v>
      </c>
    </row>
    <row r="788" spans="1:6">
      <c r="A788">
        <v>1787</v>
      </c>
      <c r="B788" s="2">
        <v>45350.240277777775</v>
      </c>
      <c r="C788" t="str">
        <f>VLOOKUP(A788, user_table!$A:$B, 2, FALSE)</f>
        <v>Female</v>
      </c>
      <c r="D788" t="str">
        <f>VLOOKUP(A788, user_table!$A:$F, 5, FALSE)</f>
        <v>Mobile</v>
      </c>
      <c r="E788" t="str">
        <f>VLOOKUP(A788, user_table!$A:$F, 6, FALSE)</f>
        <v>Paid</v>
      </c>
      <c r="F788" s="1" t="str">
        <f>IF(ISNUMBER(MATCH(A788, search_page!$A:$A, 0)), "Yes", "No")</f>
        <v>Yes</v>
      </c>
    </row>
    <row r="789" spans="1:6">
      <c r="A789">
        <v>1788</v>
      </c>
      <c r="B789" s="2">
        <v>45337.213888888888</v>
      </c>
      <c r="C789" t="str">
        <f>VLOOKUP(A789, user_table!$A:$B, 2, FALSE)</f>
        <v>Male</v>
      </c>
      <c r="D789" t="str">
        <f>VLOOKUP(A789, user_table!$A:$F, 5, FALSE)</f>
        <v>Desktop</v>
      </c>
      <c r="E789" t="str">
        <f>VLOOKUP(A789, user_table!$A:$F, 6, FALSE)</f>
        <v>Social</v>
      </c>
      <c r="F789" s="1" t="str">
        <f>IF(ISNUMBER(MATCH(A789, search_page!$A:$A, 0)), "Yes", "No")</f>
        <v>Yes</v>
      </c>
    </row>
    <row r="790" spans="1:6">
      <c r="A790">
        <v>1789</v>
      </c>
      <c r="B790" s="2">
        <v>45361.632638888892</v>
      </c>
      <c r="C790" t="str">
        <f>VLOOKUP(A790, user_table!$A:$B, 2, FALSE)</f>
        <v>Male</v>
      </c>
      <c r="D790" t="str">
        <f>VLOOKUP(A790, user_table!$A:$F, 5, FALSE)</f>
        <v>Desktop</v>
      </c>
      <c r="E790" t="str">
        <f>VLOOKUP(A790, user_table!$A:$F, 6, FALSE)</f>
        <v>Paid</v>
      </c>
      <c r="F790" s="1" t="str">
        <f>IF(ISNUMBER(MATCH(A790, search_page!$A:$A, 0)), "Yes", "No")</f>
        <v>No</v>
      </c>
    </row>
    <row r="791" spans="1:6">
      <c r="A791">
        <v>1790</v>
      </c>
      <c r="B791" s="2">
        <v>45361.835416666669</v>
      </c>
      <c r="C791" t="str">
        <f>VLOOKUP(A791, user_table!$A:$B, 2, FALSE)</f>
        <v>Female</v>
      </c>
      <c r="D791" t="str">
        <f>VLOOKUP(A791, user_table!$A:$F, 5, FALSE)</f>
        <v>Mobile</v>
      </c>
      <c r="E791" t="str">
        <f>VLOOKUP(A791, user_table!$A:$F, 6, FALSE)</f>
        <v>Social</v>
      </c>
      <c r="F791" s="1" t="str">
        <f>IF(ISNUMBER(MATCH(A791, search_page!$A:$A, 0)), "Yes", "No")</f>
        <v>No</v>
      </c>
    </row>
    <row r="792" spans="1:6">
      <c r="A792">
        <v>1791</v>
      </c>
      <c r="B792" s="2">
        <v>45359.078472222223</v>
      </c>
      <c r="C792" t="str">
        <f>VLOOKUP(A792, user_table!$A:$B, 2, FALSE)</f>
        <v>Male</v>
      </c>
      <c r="D792" t="str">
        <f>VLOOKUP(A792, user_table!$A:$F, 5, FALSE)</f>
        <v>Mobile</v>
      </c>
      <c r="E792" t="str">
        <f>VLOOKUP(A792, user_table!$A:$F, 6, FALSE)</f>
        <v>Email</v>
      </c>
      <c r="F792" s="1" t="str">
        <f>IF(ISNUMBER(MATCH(A792, search_page!$A:$A, 0)), "Yes", "No")</f>
        <v>No</v>
      </c>
    </row>
    <row r="793" spans="1:6">
      <c r="A793">
        <v>1792</v>
      </c>
      <c r="B793" s="2">
        <v>45301.877083333333</v>
      </c>
      <c r="C793" t="str">
        <f>VLOOKUP(A793, user_table!$A:$B, 2, FALSE)</f>
        <v>Female</v>
      </c>
      <c r="D793" t="str">
        <f>VLOOKUP(A793, user_table!$A:$F, 5, FALSE)</f>
        <v>Desktop</v>
      </c>
      <c r="E793" t="str">
        <f>VLOOKUP(A793, user_table!$A:$F, 6, FALSE)</f>
        <v>Email</v>
      </c>
      <c r="F793" s="1" t="str">
        <f>IF(ISNUMBER(MATCH(A793, search_page!$A:$A, 0)), "Yes", "No")</f>
        <v>Yes</v>
      </c>
    </row>
    <row r="794" spans="1:6">
      <c r="A794">
        <v>1793</v>
      </c>
      <c r="B794" s="2">
        <v>45292.547222222223</v>
      </c>
      <c r="C794" t="str">
        <f>VLOOKUP(A794, user_table!$A:$B, 2, FALSE)</f>
        <v>Male</v>
      </c>
      <c r="D794" t="str">
        <f>VLOOKUP(A794, user_table!$A:$F, 5, FALSE)</f>
        <v>Tablet</v>
      </c>
      <c r="E794" t="str">
        <f>VLOOKUP(A794, user_table!$A:$F, 6, FALSE)</f>
        <v>Email</v>
      </c>
      <c r="F794" s="1" t="str">
        <f>IF(ISNUMBER(MATCH(A794, search_page!$A:$A, 0)), "Yes", "No")</f>
        <v>No</v>
      </c>
    </row>
    <row r="795" spans="1:6">
      <c r="A795">
        <v>1794</v>
      </c>
      <c r="B795" s="2">
        <v>45372.294444444444</v>
      </c>
      <c r="C795" t="str">
        <f>VLOOKUP(A795, user_table!$A:$B, 2, FALSE)</f>
        <v>Female</v>
      </c>
      <c r="D795" t="str">
        <f>VLOOKUP(A795, user_table!$A:$F, 5, FALSE)</f>
        <v>Desktop</v>
      </c>
      <c r="E795" t="str">
        <f>VLOOKUP(A795, user_table!$A:$F, 6, FALSE)</f>
        <v>Organic</v>
      </c>
      <c r="F795" s="1" t="str">
        <f>IF(ISNUMBER(MATCH(A795, search_page!$A:$A, 0)), "Yes", "No")</f>
        <v>Yes</v>
      </c>
    </row>
    <row r="796" spans="1:6">
      <c r="A796">
        <v>1795</v>
      </c>
      <c r="B796" s="2">
        <v>45311.009027777778</v>
      </c>
      <c r="C796" t="str">
        <f>VLOOKUP(A796, user_table!$A:$B, 2, FALSE)</f>
        <v>Male</v>
      </c>
      <c r="D796" t="str">
        <f>VLOOKUP(A796, user_table!$A:$F, 5, FALSE)</f>
        <v>Mobile</v>
      </c>
      <c r="E796" t="str">
        <f>VLOOKUP(A796, user_table!$A:$F, 6, FALSE)</f>
        <v>Social</v>
      </c>
      <c r="F796" s="1" t="str">
        <f>IF(ISNUMBER(MATCH(A796, search_page!$A:$A, 0)), "Yes", "No")</f>
        <v>Yes</v>
      </c>
    </row>
    <row r="797" spans="1:6">
      <c r="A797">
        <v>1796</v>
      </c>
      <c r="B797" s="2">
        <v>45356.599305555559</v>
      </c>
      <c r="C797" t="str">
        <f>VLOOKUP(A797, user_table!$A:$B, 2, FALSE)</f>
        <v>Female</v>
      </c>
      <c r="D797" t="str">
        <f>VLOOKUP(A797, user_table!$A:$F, 5, FALSE)</f>
        <v>Mobile</v>
      </c>
      <c r="E797" t="str">
        <f>VLOOKUP(A797, user_table!$A:$F, 6, FALSE)</f>
        <v>Organic</v>
      </c>
      <c r="F797" s="1" t="str">
        <f>IF(ISNUMBER(MATCH(A797, search_page!$A:$A, 0)), "Yes", "No")</f>
        <v>No</v>
      </c>
    </row>
    <row r="798" spans="1:6">
      <c r="A798">
        <v>1797</v>
      </c>
      <c r="B798" s="2">
        <v>45299.819444444445</v>
      </c>
      <c r="C798" t="str">
        <f>VLOOKUP(A798, user_table!$A:$B, 2, FALSE)</f>
        <v>Female</v>
      </c>
      <c r="D798" t="str">
        <f>VLOOKUP(A798, user_table!$A:$F, 5, FALSE)</f>
        <v>Mobile</v>
      </c>
      <c r="E798" t="str">
        <f>VLOOKUP(A798, user_table!$A:$F, 6, FALSE)</f>
        <v>Paid</v>
      </c>
      <c r="F798" s="1" t="str">
        <f>IF(ISNUMBER(MATCH(A798, search_page!$A:$A, 0)), "Yes", "No")</f>
        <v>Yes</v>
      </c>
    </row>
    <row r="799" spans="1:6">
      <c r="A799">
        <v>1798</v>
      </c>
      <c r="B799" s="2">
        <v>45377.831944444442</v>
      </c>
      <c r="C799" t="str">
        <f>VLOOKUP(A799, user_table!$A:$B, 2, FALSE)</f>
        <v>Female</v>
      </c>
      <c r="D799" t="str">
        <f>VLOOKUP(A799, user_table!$A:$F, 5, FALSE)</f>
        <v>Mobile</v>
      </c>
      <c r="E799" t="str">
        <f>VLOOKUP(A799, user_table!$A:$F, 6, FALSE)</f>
        <v>Paid</v>
      </c>
      <c r="F799" s="1" t="str">
        <f>IF(ISNUMBER(MATCH(A799, search_page!$A:$A, 0)), "Yes", "No")</f>
        <v>No</v>
      </c>
    </row>
    <row r="800" spans="1:6">
      <c r="A800">
        <v>1799</v>
      </c>
      <c r="B800" s="2">
        <v>45353.896527777775</v>
      </c>
      <c r="C800" t="str">
        <f>VLOOKUP(A800, user_table!$A:$B, 2, FALSE)</f>
        <v>Female</v>
      </c>
      <c r="D800" t="str">
        <f>VLOOKUP(A800, user_table!$A:$F, 5, FALSE)</f>
        <v>Desktop</v>
      </c>
      <c r="E800" t="str">
        <f>VLOOKUP(A800, user_table!$A:$F, 6, FALSE)</f>
        <v>Paid</v>
      </c>
      <c r="F800" s="1" t="str">
        <f>IF(ISNUMBER(MATCH(A800, search_page!$A:$A, 0)), "Yes", "No")</f>
        <v>Yes</v>
      </c>
    </row>
    <row r="801" spans="1:6">
      <c r="A801">
        <v>1800</v>
      </c>
      <c r="B801" s="2">
        <v>45294.023611111108</v>
      </c>
      <c r="C801" t="str">
        <f>VLOOKUP(A801, user_table!$A:$B, 2, FALSE)</f>
        <v>Female</v>
      </c>
      <c r="D801" t="str">
        <f>VLOOKUP(A801, user_table!$A:$F, 5, FALSE)</f>
        <v>Desktop</v>
      </c>
      <c r="E801" t="str">
        <f>VLOOKUP(A801, user_table!$A:$F, 6, FALSE)</f>
        <v>Paid</v>
      </c>
      <c r="F801" s="1" t="str">
        <f>IF(ISNUMBER(MATCH(A801, search_page!$A:$A, 0)), "Yes", "No")</f>
        <v>No</v>
      </c>
    </row>
    <row r="802" spans="1:6">
      <c r="A802">
        <v>1801</v>
      </c>
      <c r="B802" s="2">
        <v>45362.541666666664</v>
      </c>
      <c r="C802" t="str">
        <f>VLOOKUP(A802, user_table!$A:$B, 2, FALSE)</f>
        <v>Female</v>
      </c>
      <c r="D802" t="str">
        <f>VLOOKUP(A802, user_table!$A:$F, 5, FALSE)</f>
        <v>Mobile</v>
      </c>
      <c r="E802" t="str">
        <f>VLOOKUP(A802, user_table!$A:$F, 6, FALSE)</f>
        <v>Direct</v>
      </c>
      <c r="F802" s="1" t="str">
        <f>IF(ISNUMBER(MATCH(A802, search_page!$A:$A, 0)), "Yes", "No")</f>
        <v>No</v>
      </c>
    </row>
    <row r="803" spans="1:6">
      <c r="A803">
        <v>1802</v>
      </c>
      <c r="B803" s="2">
        <v>45294.698611111111</v>
      </c>
      <c r="C803" t="str">
        <f>VLOOKUP(A803, user_table!$A:$B, 2, FALSE)</f>
        <v>Male</v>
      </c>
      <c r="D803" t="str">
        <f>VLOOKUP(A803, user_table!$A:$F, 5, FALSE)</f>
        <v>Mobile</v>
      </c>
      <c r="E803" t="str">
        <f>VLOOKUP(A803, user_table!$A:$F, 6, FALSE)</f>
        <v>Organic</v>
      </c>
      <c r="F803" s="1" t="str">
        <f>IF(ISNUMBER(MATCH(A803, search_page!$A:$A, 0)), "Yes", "No")</f>
        <v>No</v>
      </c>
    </row>
    <row r="804" spans="1:6">
      <c r="A804">
        <v>1803</v>
      </c>
      <c r="B804" s="2">
        <v>45327.720833333333</v>
      </c>
      <c r="C804" t="str">
        <f>VLOOKUP(A804, user_table!$A:$B, 2, FALSE)</f>
        <v>Female</v>
      </c>
      <c r="D804" t="str">
        <f>VLOOKUP(A804, user_table!$A:$F, 5, FALSE)</f>
        <v>Desktop</v>
      </c>
      <c r="E804" t="str">
        <f>VLOOKUP(A804, user_table!$A:$F, 6, FALSE)</f>
        <v>Social</v>
      </c>
      <c r="F804" s="1" t="str">
        <f>IF(ISNUMBER(MATCH(A804, search_page!$A:$A, 0)), "Yes", "No")</f>
        <v>No</v>
      </c>
    </row>
    <row r="805" spans="1:6">
      <c r="A805">
        <v>1804</v>
      </c>
      <c r="B805" s="2">
        <v>45294.702777777777</v>
      </c>
      <c r="C805" t="str">
        <f>VLOOKUP(A805, user_table!$A:$B, 2, FALSE)</f>
        <v>Female</v>
      </c>
      <c r="D805" t="str">
        <f>VLOOKUP(A805, user_table!$A:$F, 5, FALSE)</f>
        <v>Mobile</v>
      </c>
      <c r="E805" t="str">
        <f>VLOOKUP(A805, user_table!$A:$F, 6, FALSE)</f>
        <v>Paid</v>
      </c>
      <c r="F805" s="1" t="str">
        <f>IF(ISNUMBER(MATCH(A805, search_page!$A:$A, 0)), "Yes", "No")</f>
        <v>Yes</v>
      </c>
    </row>
    <row r="806" spans="1:6">
      <c r="A806">
        <v>1805</v>
      </c>
      <c r="B806" s="2">
        <v>45381.893750000003</v>
      </c>
      <c r="C806" t="str">
        <f>VLOOKUP(A806, user_table!$A:$B, 2, FALSE)</f>
        <v>Male</v>
      </c>
      <c r="D806" t="str">
        <f>VLOOKUP(A806, user_table!$A:$F, 5, FALSE)</f>
        <v>Desktop</v>
      </c>
      <c r="E806" t="str">
        <f>VLOOKUP(A806, user_table!$A:$F, 6, FALSE)</f>
        <v>Organic</v>
      </c>
      <c r="F806" s="1" t="str">
        <f>IF(ISNUMBER(MATCH(A806, search_page!$A:$A, 0)), "Yes", "No")</f>
        <v>No</v>
      </c>
    </row>
    <row r="807" spans="1:6">
      <c r="A807">
        <v>1806</v>
      </c>
      <c r="B807" s="2">
        <v>45314.165277777778</v>
      </c>
      <c r="C807" t="str">
        <f>VLOOKUP(A807, user_table!$A:$B, 2, FALSE)</f>
        <v>Female</v>
      </c>
      <c r="D807" t="str">
        <f>VLOOKUP(A807, user_table!$A:$F, 5, FALSE)</f>
        <v>Mobile</v>
      </c>
      <c r="E807" t="str">
        <f>VLOOKUP(A807, user_table!$A:$F, 6, FALSE)</f>
        <v>Organic</v>
      </c>
      <c r="F807" s="1" t="str">
        <f>IF(ISNUMBER(MATCH(A807, search_page!$A:$A, 0)), "Yes", "No")</f>
        <v>Yes</v>
      </c>
    </row>
    <row r="808" spans="1:6">
      <c r="A808">
        <v>1807</v>
      </c>
      <c r="B808" s="2">
        <v>45304.67291666667</v>
      </c>
      <c r="C808" t="str">
        <f>VLOOKUP(A808, user_table!$A:$B, 2, FALSE)</f>
        <v>Female</v>
      </c>
      <c r="D808" t="str">
        <f>VLOOKUP(A808, user_table!$A:$F, 5, FALSE)</f>
        <v>Mobile</v>
      </c>
      <c r="E808" t="str">
        <f>VLOOKUP(A808, user_table!$A:$F, 6, FALSE)</f>
        <v>Direct</v>
      </c>
      <c r="F808" s="1" t="str">
        <f>IF(ISNUMBER(MATCH(A808, search_page!$A:$A, 0)), "Yes", "No")</f>
        <v>No</v>
      </c>
    </row>
    <row r="809" spans="1:6">
      <c r="A809">
        <v>1808</v>
      </c>
      <c r="B809" s="2">
        <v>45322.277083333334</v>
      </c>
      <c r="C809" t="str">
        <f>VLOOKUP(A809, user_table!$A:$B, 2, FALSE)</f>
        <v>Female</v>
      </c>
      <c r="D809" t="str">
        <f>VLOOKUP(A809, user_table!$A:$F, 5, FALSE)</f>
        <v>Desktop</v>
      </c>
      <c r="E809" t="str">
        <f>VLOOKUP(A809, user_table!$A:$F, 6, FALSE)</f>
        <v>Email</v>
      </c>
      <c r="F809" s="1" t="str">
        <f>IF(ISNUMBER(MATCH(A809, search_page!$A:$A, 0)), "Yes", "No")</f>
        <v>No</v>
      </c>
    </row>
    <row r="810" spans="1:6">
      <c r="A810">
        <v>1809</v>
      </c>
      <c r="B810" s="2">
        <v>45359.369444444441</v>
      </c>
      <c r="C810" t="str">
        <f>VLOOKUP(A810, user_table!$A:$B, 2, FALSE)</f>
        <v>Male</v>
      </c>
      <c r="D810" t="str">
        <f>VLOOKUP(A810, user_table!$A:$F, 5, FALSE)</f>
        <v>Desktop</v>
      </c>
      <c r="E810" t="str">
        <f>VLOOKUP(A810, user_table!$A:$F, 6, FALSE)</f>
        <v>Direct</v>
      </c>
      <c r="F810" s="1" t="str">
        <f>IF(ISNUMBER(MATCH(A810, search_page!$A:$A, 0)), "Yes", "No")</f>
        <v>Yes</v>
      </c>
    </row>
    <row r="811" spans="1:6">
      <c r="A811">
        <v>1810</v>
      </c>
      <c r="B811" s="2">
        <v>45337.368055555555</v>
      </c>
      <c r="C811" t="str">
        <f>VLOOKUP(A811, user_table!$A:$B, 2, FALSE)</f>
        <v>Male</v>
      </c>
      <c r="D811" t="str">
        <f>VLOOKUP(A811, user_table!$A:$F, 5, FALSE)</f>
        <v>Mobile</v>
      </c>
      <c r="E811" t="str">
        <f>VLOOKUP(A811, user_table!$A:$F, 6, FALSE)</f>
        <v>Direct</v>
      </c>
      <c r="F811" s="1" t="str">
        <f>IF(ISNUMBER(MATCH(A811, search_page!$A:$A, 0)), "Yes", "No")</f>
        <v>No</v>
      </c>
    </row>
    <row r="812" spans="1:6">
      <c r="A812">
        <v>1811</v>
      </c>
      <c r="B812" s="2">
        <v>45342.099305555559</v>
      </c>
      <c r="C812" t="str">
        <f>VLOOKUP(A812, user_table!$A:$B, 2, FALSE)</f>
        <v>Female</v>
      </c>
      <c r="D812" t="str">
        <f>VLOOKUP(A812, user_table!$A:$F, 5, FALSE)</f>
        <v>Mobile</v>
      </c>
      <c r="E812" t="str">
        <f>VLOOKUP(A812, user_table!$A:$F, 6, FALSE)</f>
        <v>Organic</v>
      </c>
      <c r="F812" s="1" t="str">
        <f>IF(ISNUMBER(MATCH(A812, search_page!$A:$A, 0)), "Yes", "No")</f>
        <v>No</v>
      </c>
    </row>
    <row r="813" spans="1:6">
      <c r="A813">
        <v>1812</v>
      </c>
      <c r="B813" s="2">
        <v>45343.60833333333</v>
      </c>
      <c r="C813" t="str">
        <f>VLOOKUP(A813, user_table!$A:$B, 2, FALSE)</f>
        <v>Female</v>
      </c>
      <c r="D813" t="str">
        <f>VLOOKUP(A813, user_table!$A:$F, 5, FALSE)</f>
        <v>Mobile</v>
      </c>
      <c r="E813" t="str">
        <f>VLOOKUP(A813, user_table!$A:$F, 6, FALSE)</f>
        <v>Paid</v>
      </c>
      <c r="F813" s="1" t="str">
        <f>IF(ISNUMBER(MATCH(A813, search_page!$A:$A, 0)), "Yes", "No")</f>
        <v>Yes</v>
      </c>
    </row>
    <row r="814" spans="1:6">
      <c r="A814">
        <v>1813</v>
      </c>
      <c r="B814" s="2">
        <v>45323.926388888889</v>
      </c>
      <c r="C814" t="str">
        <f>VLOOKUP(A814, user_table!$A:$B, 2, FALSE)</f>
        <v>Male</v>
      </c>
      <c r="D814" t="str">
        <f>VLOOKUP(A814, user_table!$A:$F, 5, FALSE)</f>
        <v>Mobile</v>
      </c>
      <c r="E814" t="str">
        <f>VLOOKUP(A814, user_table!$A:$F, 6, FALSE)</f>
        <v>Social</v>
      </c>
      <c r="F814" s="1" t="str">
        <f>IF(ISNUMBER(MATCH(A814, search_page!$A:$A, 0)), "Yes", "No")</f>
        <v>Yes</v>
      </c>
    </row>
    <row r="815" spans="1:6">
      <c r="A815">
        <v>1814</v>
      </c>
      <c r="B815" s="2">
        <v>45330.911111111112</v>
      </c>
      <c r="C815" t="str">
        <f>VLOOKUP(A815, user_table!$A:$B, 2, FALSE)</f>
        <v>Female</v>
      </c>
      <c r="D815" t="str">
        <f>VLOOKUP(A815, user_table!$A:$F, 5, FALSE)</f>
        <v>Mobile</v>
      </c>
      <c r="E815" t="str">
        <f>VLOOKUP(A815, user_table!$A:$F, 6, FALSE)</f>
        <v>Paid</v>
      </c>
      <c r="F815" s="1" t="str">
        <f>IF(ISNUMBER(MATCH(A815, search_page!$A:$A, 0)), "Yes", "No")</f>
        <v>No</v>
      </c>
    </row>
    <row r="816" spans="1:6">
      <c r="A816">
        <v>1815</v>
      </c>
      <c r="B816" s="2">
        <v>45302.870833333334</v>
      </c>
      <c r="C816" t="str">
        <f>VLOOKUP(A816, user_table!$A:$B, 2, FALSE)</f>
        <v>Female</v>
      </c>
      <c r="D816" t="str">
        <f>VLOOKUP(A816, user_table!$A:$F, 5, FALSE)</f>
        <v>Tablet</v>
      </c>
      <c r="E816" t="str">
        <f>VLOOKUP(A816, user_table!$A:$F, 6, FALSE)</f>
        <v>Paid</v>
      </c>
      <c r="F816" s="1" t="str">
        <f>IF(ISNUMBER(MATCH(A816, search_page!$A:$A, 0)), "Yes", "No")</f>
        <v>Yes</v>
      </c>
    </row>
    <row r="817" spans="1:6">
      <c r="A817">
        <v>1816</v>
      </c>
      <c r="B817" s="2">
        <v>45375.045138888891</v>
      </c>
      <c r="C817" t="str">
        <f>VLOOKUP(A817, user_table!$A:$B, 2, FALSE)</f>
        <v>Male</v>
      </c>
      <c r="D817" t="str">
        <f>VLOOKUP(A817, user_table!$A:$F, 5, FALSE)</f>
        <v>Mobile</v>
      </c>
      <c r="E817" t="str">
        <f>VLOOKUP(A817, user_table!$A:$F, 6, FALSE)</f>
        <v>Paid</v>
      </c>
      <c r="F817" s="1" t="str">
        <f>IF(ISNUMBER(MATCH(A817, search_page!$A:$A, 0)), "Yes", "No")</f>
        <v>Yes</v>
      </c>
    </row>
    <row r="818" spans="1:6">
      <c r="A818">
        <v>1817</v>
      </c>
      <c r="B818" s="2">
        <v>45343.51666666667</v>
      </c>
      <c r="C818" t="str">
        <f>VLOOKUP(A818, user_table!$A:$B, 2, FALSE)</f>
        <v>Female</v>
      </c>
      <c r="D818" t="str">
        <f>VLOOKUP(A818, user_table!$A:$F, 5, FALSE)</f>
        <v>Desktop</v>
      </c>
      <c r="E818" t="str">
        <f>VLOOKUP(A818, user_table!$A:$F, 6, FALSE)</f>
        <v>Social</v>
      </c>
      <c r="F818" s="1" t="str">
        <f>IF(ISNUMBER(MATCH(A818, search_page!$A:$A, 0)), "Yes", "No")</f>
        <v>No</v>
      </c>
    </row>
    <row r="819" spans="1:6">
      <c r="A819">
        <v>1818</v>
      </c>
      <c r="B819" s="2">
        <v>45362.627083333333</v>
      </c>
      <c r="C819" t="str">
        <f>VLOOKUP(A819, user_table!$A:$B, 2, FALSE)</f>
        <v>Male</v>
      </c>
      <c r="D819" t="str">
        <f>VLOOKUP(A819, user_table!$A:$F, 5, FALSE)</f>
        <v>Desktop</v>
      </c>
      <c r="E819" t="str">
        <f>VLOOKUP(A819, user_table!$A:$F, 6, FALSE)</f>
        <v>Social</v>
      </c>
      <c r="F819" s="1" t="str">
        <f>IF(ISNUMBER(MATCH(A819, search_page!$A:$A, 0)), "Yes", "No")</f>
        <v>No</v>
      </c>
    </row>
    <row r="820" spans="1:6">
      <c r="A820">
        <v>1819</v>
      </c>
      <c r="B820" s="2">
        <v>45373.030555555553</v>
      </c>
      <c r="C820" t="str">
        <f>VLOOKUP(A820, user_table!$A:$B, 2, FALSE)</f>
        <v>Male</v>
      </c>
      <c r="D820" t="str">
        <f>VLOOKUP(A820, user_table!$A:$F, 5, FALSE)</f>
        <v>Desktop</v>
      </c>
      <c r="E820" t="str">
        <f>VLOOKUP(A820, user_table!$A:$F, 6, FALSE)</f>
        <v>Organic</v>
      </c>
      <c r="F820" s="1" t="str">
        <f>IF(ISNUMBER(MATCH(A820, search_page!$A:$A, 0)), "Yes", "No")</f>
        <v>Yes</v>
      </c>
    </row>
    <row r="821" spans="1:6">
      <c r="A821">
        <v>1820</v>
      </c>
      <c r="B821" s="2">
        <v>45313.104861111111</v>
      </c>
      <c r="C821" t="str">
        <f>VLOOKUP(A821, user_table!$A:$B, 2, FALSE)</f>
        <v>Male</v>
      </c>
      <c r="D821" t="str">
        <f>VLOOKUP(A821, user_table!$A:$F, 5, FALSE)</f>
        <v>Mobile</v>
      </c>
      <c r="E821" t="str">
        <f>VLOOKUP(A821, user_table!$A:$F, 6, FALSE)</f>
        <v>Paid</v>
      </c>
      <c r="F821" s="1" t="str">
        <f>IF(ISNUMBER(MATCH(A821, search_page!$A:$A, 0)), "Yes", "No")</f>
        <v>No</v>
      </c>
    </row>
    <row r="822" spans="1:6">
      <c r="A822">
        <v>1821</v>
      </c>
      <c r="B822" s="2">
        <v>45347.868055555555</v>
      </c>
      <c r="C822" t="str">
        <f>VLOOKUP(A822, user_table!$A:$B, 2, FALSE)</f>
        <v>Female</v>
      </c>
      <c r="D822" t="str">
        <f>VLOOKUP(A822, user_table!$A:$F, 5, FALSE)</f>
        <v>Desktop</v>
      </c>
      <c r="E822" t="str">
        <f>VLOOKUP(A822, user_table!$A:$F, 6, FALSE)</f>
        <v>Social</v>
      </c>
      <c r="F822" s="1" t="str">
        <f>IF(ISNUMBER(MATCH(A822, search_page!$A:$A, 0)), "Yes", "No")</f>
        <v>Yes</v>
      </c>
    </row>
    <row r="823" spans="1:6">
      <c r="A823">
        <v>1822</v>
      </c>
      <c r="B823" s="2">
        <v>45334.787499999999</v>
      </c>
      <c r="C823" t="str">
        <f>VLOOKUP(A823, user_table!$A:$B, 2, FALSE)</f>
        <v>Male</v>
      </c>
      <c r="D823" t="str">
        <f>VLOOKUP(A823, user_table!$A:$F, 5, FALSE)</f>
        <v>Tablet</v>
      </c>
      <c r="E823" t="str">
        <f>VLOOKUP(A823, user_table!$A:$F, 6, FALSE)</f>
        <v>Social</v>
      </c>
      <c r="F823" s="1" t="str">
        <f>IF(ISNUMBER(MATCH(A823, search_page!$A:$A, 0)), "Yes", "No")</f>
        <v>Yes</v>
      </c>
    </row>
    <row r="824" spans="1:6">
      <c r="A824">
        <v>1823</v>
      </c>
      <c r="B824" s="2">
        <v>45304.706944444442</v>
      </c>
      <c r="C824" t="str">
        <f>VLOOKUP(A824, user_table!$A:$B, 2, FALSE)</f>
        <v>Male</v>
      </c>
      <c r="D824" t="str">
        <f>VLOOKUP(A824, user_table!$A:$F, 5, FALSE)</f>
        <v>Mobile</v>
      </c>
      <c r="E824" t="str">
        <f>VLOOKUP(A824, user_table!$A:$F, 6, FALSE)</f>
        <v>Organic</v>
      </c>
      <c r="F824" s="1" t="str">
        <f>IF(ISNUMBER(MATCH(A824, search_page!$A:$A, 0)), "Yes", "No")</f>
        <v>Yes</v>
      </c>
    </row>
    <row r="825" spans="1:6">
      <c r="A825">
        <v>1824</v>
      </c>
      <c r="B825" s="2">
        <v>45297.300694444442</v>
      </c>
      <c r="C825" t="str">
        <f>VLOOKUP(A825, user_table!$A:$B, 2, FALSE)</f>
        <v>Male</v>
      </c>
      <c r="D825" t="str">
        <f>VLOOKUP(A825, user_table!$A:$F, 5, FALSE)</f>
        <v>Mobile</v>
      </c>
      <c r="E825" t="str">
        <f>VLOOKUP(A825, user_table!$A:$F, 6, FALSE)</f>
        <v>Social</v>
      </c>
      <c r="F825" s="1" t="str">
        <f>IF(ISNUMBER(MATCH(A825, search_page!$A:$A, 0)), "Yes", "No")</f>
        <v>No</v>
      </c>
    </row>
    <row r="826" spans="1:6">
      <c r="A826">
        <v>1825</v>
      </c>
      <c r="B826" s="2">
        <v>45380.770833333336</v>
      </c>
      <c r="C826" t="str">
        <f>VLOOKUP(A826, user_table!$A:$B, 2, FALSE)</f>
        <v>Female</v>
      </c>
      <c r="D826" t="str">
        <f>VLOOKUP(A826, user_table!$A:$F, 5, FALSE)</f>
        <v>Desktop</v>
      </c>
      <c r="E826" t="str">
        <f>VLOOKUP(A826, user_table!$A:$F, 6, FALSE)</f>
        <v>Organic</v>
      </c>
      <c r="F826" s="1" t="str">
        <f>IF(ISNUMBER(MATCH(A826, search_page!$A:$A, 0)), "Yes", "No")</f>
        <v>Yes</v>
      </c>
    </row>
    <row r="827" spans="1:6">
      <c r="A827">
        <v>1826</v>
      </c>
      <c r="B827" s="2">
        <v>45326.082638888889</v>
      </c>
      <c r="C827" t="str">
        <f>VLOOKUP(A827, user_table!$A:$B, 2, FALSE)</f>
        <v>Female</v>
      </c>
      <c r="D827" t="str">
        <f>VLOOKUP(A827, user_table!$A:$F, 5, FALSE)</f>
        <v>Desktop</v>
      </c>
      <c r="E827" t="str">
        <f>VLOOKUP(A827, user_table!$A:$F, 6, FALSE)</f>
        <v>Paid</v>
      </c>
      <c r="F827" s="1" t="str">
        <f>IF(ISNUMBER(MATCH(A827, search_page!$A:$A, 0)), "Yes", "No")</f>
        <v>Yes</v>
      </c>
    </row>
    <row r="828" spans="1:6">
      <c r="A828">
        <v>1827</v>
      </c>
      <c r="B828" s="2">
        <v>45301.915972222225</v>
      </c>
      <c r="C828" t="str">
        <f>VLOOKUP(A828, user_table!$A:$B, 2, FALSE)</f>
        <v>Male</v>
      </c>
      <c r="D828" t="str">
        <f>VLOOKUP(A828, user_table!$A:$F, 5, FALSE)</f>
        <v>Desktop</v>
      </c>
      <c r="E828" t="str">
        <f>VLOOKUP(A828, user_table!$A:$F, 6, FALSE)</f>
        <v>Email</v>
      </c>
      <c r="F828" s="1" t="str">
        <f>IF(ISNUMBER(MATCH(A828, search_page!$A:$A, 0)), "Yes", "No")</f>
        <v>Yes</v>
      </c>
    </row>
    <row r="829" spans="1:6">
      <c r="A829">
        <v>1828</v>
      </c>
      <c r="B829" s="2">
        <v>45327.73333333333</v>
      </c>
      <c r="C829" t="str">
        <f>VLOOKUP(A829, user_table!$A:$B, 2, FALSE)</f>
        <v>Male</v>
      </c>
      <c r="D829" t="str">
        <f>VLOOKUP(A829, user_table!$A:$F, 5, FALSE)</f>
        <v>Desktop</v>
      </c>
      <c r="E829" t="str">
        <f>VLOOKUP(A829, user_table!$A:$F, 6, FALSE)</f>
        <v>Social</v>
      </c>
      <c r="F829" s="1" t="str">
        <f>IF(ISNUMBER(MATCH(A829, search_page!$A:$A, 0)), "Yes", "No")</f>
        <v>Yes</v>
      </c>
    </row>
    <row r="830" spans="1:6">
      <c r="A830">
        <v>1829</v>
      </c>
      <c r="B830" s="2">
        <v>45376.049305555556</v>
      </c>
      <c r="C830" t="str">
        <f>VLOOKUP(A830, user_table!$A:$B, 2, FALSE)</f>
        <v>Female</v>
      </c>
      <c r="D830" t="str">
        <f>VLOOKUP(A830, user_table!$A:$F, 5, FALSE)</f>
        <v>Desktop</v>
      </c>
      <c r="E830" t="str">
        <f>VLOOKUP(A830, user_table!$A:$F, 6, FALSE)</f>
        <v>Organic</v>
      </c>
      <c r="F830" s="1" t="str">
        <f>IF(ISNUMBER(MATCH(A830, search_page!$A:$A, 0)), "Yes", "No")</f>
        <v>Yes</v>
      </c>
    </row>
    <row r="831" spans="1:6">
      <c r="A831">
        <v>1830</v>
      </c>
      <c r="B831" s="2">
        <v>45332.009027777778</v>
      </c>
      <c r="C831" t="str">
        <f>VLOOKUP(A831, user_table!$A:$B, 2, FALSE)</f>
        <v>Male</v>
      </c>
      <c r="D831" t="str">
        <f>VLOOKUP(A831, user_table!$A:$F, 5, FALSE)</f>
        <v>Mobile</v>
      </c>
      <c r="E831" t="str">
        <f>VLOOKUP(A831, user_table!$A:$F, 6, FALSE)</f>
        <v>Social</v>
      </c>
      <c r="F831" s="1" t="str">
        <f>IF(ISNUMBER(MATCH(A831, search_page!$A:$A, 0)), "Yes", "No")</f>
        <v>Yes</v>
      </c>
    </row>
    <row r="832" spans="1:6">
      <c r="A832">
        <v>1831</v>
      </c>
      <c r="B832" s="2">
        <v>45367.199999999997</v>
      </c>
      <c r="C832" t="str">
        <f>VLOOKUP(A832, user_table!$A:$B, 2, FALSE)</f>
        <v>Male</v>
      </c>
      <c r="D832" t="str">
        <f>VLOOKUP(A832, user_table!$A:$F, 5, FALSE)</f>
        <v>Tablet</v>
      </c>
      <c r="E832" t="str">
        <f>VLOOKUP(A832, user_table!$A:$F, 6, FALSE)</f>
        <v>Social</v>
      </c>
      <c r="F832" s="1" t="str">
        <f>IF(ISNUMBER(MATCH(A832, search_page!$A:$A, 0)), "Yes", "No")</f>
        <v>Yes</v>
      </c>
    </row>
    <row r="833" spans="1:6">
      <c r="A833">
        <v>1832</v>
      </c>
      <c r="B833" s="2">
        <v>45342.09652777778</v>
      </c>
      <c r="C833" t="str">
        <f>VLOOKUP(A833, user_table!$A:$B, 2, FALSE)</f>
        <v>Male</v>
      </c>
      <c r="D833" t="str">
        <f>VLOOKUP(A833, user_table!$A:$F, 5, FALSE)</f>
        <v>Tablet</v>
      </c>
      <c r="E833" t="str">
        <f>VLOOKUP(A833, user_table!$A:$F, 6, FALSE)</f>
        <v>Email</v>
      </c>
      <c r="F833" s="1" t="str">
        <f>IF(ISNUMBER(MATCH(A833, search_page!$A:$A, 0)), "Yes", "No")</f>
        <v>Yes</v>
      </c>
    </row>
    <row r="834" spans="1:6">
      <c r="A834">
        <v>1833</v>
      </c>
      <c r="B834" s="2">
        <v>45312.760416666664</v>
      </c>
      <c r="C834" t="str">
        <f>VLOOKUP(A834, user_table!$A:$B, 2, FALSE)</f>
        <v>Male</v>
      </c>
      <c r="D834" t="str">
        <f>VLOOKUP(A834, user_table!$A:$F, 5, FALSE)</f>
        <v>Mobile</v>
      </c>
      <c r="E834" t="str">
        <f>VLOOKUP(A834, user_table!$A:$F, 6, FALSE)</f>
        <v>Social</v>
      </c>
      <c r="F834" s="1" t="str">
        <f>IF(ISNUMBER(MATCH(A834, search_page!$A:$A, 0)), "Yes", "No")</f>
        <v>Yes</v>
      </c>
    </row>
    <row r="835" spans="1:6">
      <c r="A835">
        <v>1834</v>
      </c>
      <c r="B835" s="2">
        <v>45364.529861111114</v>
      </c>
      <c r="C835" t="str">
        <f>VLOOKUP(A835, user_table!$A:$B, 2, FALSE)</f>
        <v>Male</v>
      </c>
      <c r="D835" t="str">
        <f>VLOOKUP(A835, user_table!$A:$F, 5, FALSE)</f>
        <v>Desktop</v>
      </c>
      <c r="E835" t="str">
        <f>VLOOKUP(A835, user_table!$A:$F, 6, FALSE)</f>
        <v>Social</v>
      </c>
      <c r="F835" s="1" t="str">
        <f>IF(ISNUMBER(MATCH(A835, search_page!$A:$A, 0)), "Yes", "No")</f>
        <v>No</v>
      </c>
    </row>
    <row r="836" spans="1:6">
      <c r="A836">
        <v>1835</v>
      </c>
      <c r="B836" s="2">
        <v>45361.433333333334</v>
      </c>
      <c r="C836" t="str">
        <f>VLOOKUP(A836, user_table!$A:$B, 2, FALSE)</f>
        <v>Male</v>
      </c>
      <c r="D836" t="str">
        <f>VLOOKUP(A836, user_table!$A:$F, 5, FALSE)</f>
        <v>Tablet</v>
      </c>
      <c r="E836" t="str">
        <f>VLOOKUP(A836, user_table!$A:$F, 6, FALSE)</f>
        <v>Paid</v>
      </c>
      <c r="F836" s="1" t="str">
        <f>IF(ISNUMBER(MATCH(A836, search_page!$A:$A, 0)), "Yes", "No")</f>
        <v>Yes</v>
      </c>
    </row>
    <row r="837" spans="1:6">
      <c r="A837">
        <v>1836</v>
      </c>
      <c r="B837" s="2">
        <v>45309.948611111111</v>
      </c>
      <c r="C837" t="str">
        <f>VLOOKUP(A837, user_table!$A:$B, 2, FALSE)</f>
        <v>Male</v>
      </c>
      <c r="D837" t="str">
        <f>VLOOKUP(A837, user_table!$A:$F, 5, FALSE)</f>
        <v>Tablet</v>
      </c>
      <c r="E837" t="str">
        <f>VLOOKUP(A837, user_table!$A:$F, 6, FALSE)</f>
        <v>Organic</v>
      </c>
      <c r="F837" s="1" t="str">
        <f>IF(ISNUMBER(MATCH(A837, search_page!$A:$A, 0)), "Yes", "No")</f>
        <v>No</v>
      </c>
    </row>
    <row r="838" spans="1:6">
      <c r="A838">
        <v>1837</v>
      </c>
      <c r="B838" s="2">
        <v>45302.699305555558</v>
      </c>
      <c r="C838" t="str">
        <f>VLOOKUP(A838, user_table!$A:$B, 2, FALSE)</f>
        <v>Female</v>
      </c>
      <c r="D838" t="str">
        <f>VLOOKUP(A838, user_table!$A:$F, 5, FALSE)</f>
        <v>Desktop</v>
      </c>
      <c r="E838" t="str">
        <f>VLOOKUP(A838, user_table!$A:$F, 6, FALSE)</f>
        <v>Organic</v>
      </c>
      <c r="F838" s="1" t="str">
        <f>IF(ISNUMBER(MATCH(A838, search_page!$A:$A, 0)), "Yes", "No")</f>
        <v>No</v>
      </c>
    </row>
    <row r="839" spans="1:6">
      <c r="A839">
        <v>1838</v>
      </c>
      <c r="B839" s="2">
        <v>45336.04583333333</v>
      </c>
      <c r="C839" t="str">
        <f>VLOOKUP(A839, user_table!$A:$B, 2, FALSE)</f>
        <v>Male</v>
      </c>
      <c r="D839" t="str">
        <f>VLOOKUP(A839, user_table!$A:$F, 5, FALSE)</f>
        <v>Mobile</v>
      </c>
      <c r="E839" t="str">
        <f>VLOOKUP(A839, user_table!$A:$F, 6, FALSE)</f>
        <v>Paid</v>
      </c>
      <c r="F839" s="1" t="str">
        <f>IF(ISNUMBER(MATCH(A839, search_page!$A:$A, 0)), "Yes", "No")</f>
        <v>Yes</v>
      </c>
    </row>
    <row r="840" spans="1:6">
      <c r="A840">
        <v>1839</v>
      </c>
      <c r="B840" s="2">
        <v>45347.328472222223</v>
      </c>
      <c r="C840" t="str">
        <f>VLOOKUP(A840, user_table!$A:$B, 2, FALSE)</f>
        <v>Female</v>
      </c>
      <c r="D840" t="str">
        <f>VLOOKUP(A840, user_table!$A:$F, 5, FALSE)</f>
        <v>Desktop</v>
      </c>
      <c r="E840" t="str">
        <f>VLOOKUP(A840, user_table!$A:$F, 6, FALSE)</f>
        <v>Social</v>
      </c>
      <c r="F840" s="1" t="str">
        <f>IF(ISNUMBER(MATCH(A840, search_page!$A:$A, 0)), "Yes", "No")</f>
        <v>No</v>
      </c>
    </row>
    <row r="841" spans="1:6">
      <c r="A841">
        <v>1840</v>
      </c>
      <c r="B841" s="2">
        <v>45301.443055555559</v>
      </c>
      <c r="C841" t="str">
        <f>VLOOKUP(A841, user_table!$A:$B, 2, FALSE)</f>
        <v>Female</v>
      </c>
      <c r="D841" t="str">
        <f>VLOOKUP(A841, user_table!$A:$F, 5, FALSE)</f>
        <v>Mobile</v>
      </c>
      <c r="E841" t="str">
        <f>VLOOKUP(A841, user_table!$A:$F, 6, FALSE)</f>
        <v>Paid</v>
      </c>
      <c r="F841" s="1" t="str">
        <f>IF(ISNUMBER(MATCH(A841, search_page!$A:$A, 0)), "Yes", "No")</f>
        <v>No</v>
      </c>
    </row>
    <row r="842" spans="1:6">
      <c r="A842">
        <v>1841</v>
      </c>
      <c r="B842" s="2">
        <v>45370.809027777781</v>
      </c>
      <c r="C842" t="str">
        <f>VLOOKUP(A842, user_table!$A:$B, 2, FALSE)</f>
        <v>Male</v>
      </c>
      <c r="D842" t="str">
        <f>VLOOKUP(A842, user_table!$A:$F, 5, FALSE)</f>
        <v>Tablet</v>
      </c>
      <c r="E842" t="str">
        <f>VLOOKUP(A842, user_table!$A:$F, 6, FALSE)</f>
        <v>Organic</v>
      </c>
      <c r="F842" s="1" t="str">
        <f>IF(ISNUMBER(MATCH(A842, search_page!$A:$A, 0)), "Yes", "No")</f>
        <v>No</v>
      </c>
    </row>
    <row r="843" spans="1:6">
      <c r="A843">
        <v>1842</v>
      </c>
      <c r="B843" s="2">
        <v>45333.027777777781</v>
      </c>
      <c r="C843" t="str">
        <f>VLOOKUP(A843, user_table!$A:$B, 2, FALSE)</f>
        <v>Female</v>
      </c>
      <c r="D843" t="str">
        <f>VLOOKUP(A843, user_table!$A:$F, 5, FALSE)</f>
        <v>Desktop</v>
      </c>
      <c r="E843" t="str">
        <f>VLOOKUP(A843, user_table!$A:$F, 6, FALSE)</f>
        <v>Organic</v>
      </c>
      <c r="F843" s="1" t="str">
        <f>IF(ISNUMBER(MATCH(A843, search_page!$A:$A, 0)), "Yes", "No")</f>
        <v>Yes</v>
      </c>
    </row>
    <row r="844" spans="1:6">
      <c r="A844">
        <v>1843</v>
      </c>
      <c r="B844" s="2">
        <v>45326.604861111111</v>
      </c>
      <c r="C844" t="str">
        <f>VLOOKUP(A844, user_table!$A:$B, 2, FALSE)</f>
        <v>Male</v>
      </c>
      <c r="D844" t="str">
        <f>VLOOKUP(A844, user_table!$A:$F, 5, FALSE)</f>
        <v>Tablet</v>
      </c>
      <c r="E844" t="str">
        <f>VLOOKUP(A844, user_table!$A:$F, 6, FALSE)</f>
        <v>Paid</v>
      </c>
      <c r="F844" s="1" t="str">
        <f>IF(ISNUMBER(MATCH(A844, search_page!$A:$A, 0)), "Yes", "No")</f>
        <v>No</v>
      </c>
    </row>
    <row r="845" spans="1:6">
      <c r="A845">
        <v>1844</v>
      </c>
      <c r="B845" s="2">
        <v>45321.482638888891</v>
      </c>
      <c r="C845" t="str">
        <f>VLOOKUP(A845, user_table!$A:$B, 2, FALSE)</f>
        <v>Female</v>
      </c>
      <c r="D845" t="str">
        <f>VLOOKUP(A845, user_table!$A:$F, 5, FALSE)</f>
        <v>Mobile</v>
      </c>
      <c r="E845" t="str">
        <f>VLOOKUP(A845, user_table!$A:$F, 6, FALSE)</f>
        <v>Organic</v>
      </c>
      <c r="F845" s="1" t="str">
        <f>IF(ISNUMBER(MATCH(A845, search_page!$A:$A, 0)), "Yes", "No")</f>
        <v>No</v>
      </c>
    </row>
    <row r="846" spans="1:6">
      <c r="A846">
        <v>1845</v>
      </c>
      <c r="B846" s="2">
        <v>45340.549305555556</v>
      </c>
      <c r="C846" t="str">
        <f>VLOOKUP(A846, user_table!$A:$B, 2, FALSE)</f>
        <v>Male</v>
      </c>
      <c r="D846" t="str">
        <f>VLOOKUP(A846, user_table!$A:$F, 5, FALSE)</f>
        <v>Tablet</v>
      </c>
      <c r="E846" t="str">
        <f>VLOOKUP(A846, user_table!$A:$F, 6, FALSE)</f>
        <v>Social</v>
      </c>
      <c r="F846" s="1" t="str">
        <f>IF(ISNUMBER(MATCH(A846, search_page!$A:$A, 0)), "Yes", "No")</f>
        <v>Yes</v>
      </c>
    </row>
    <row r="847" spans="1:6">
      <c r="A847">
        <v>1846</v>
      </c>
      <c r="B847" s="2">
        <v>45379.779166666667</v>
      </c>
      <c r="C847" t="str">
        <f>VLOOKUP(A847, user_table!$A:$B, 2, FALSE)</f>
        <v>Male</v>
      </c>
      <c r="D847" t="str">
        <f>VLOOKUP(A847, user_table!$A:$F, 5, FALSE)</f>
        <v>Desktop</v>
      </c>
      <c r="E847" t="str">
        <f>VLOOKUP(A847, user_table!$A:$F, 6, FALSE)</f>
        <v>Organic</v>
      </c>
      <c r="F847" s="1" t="str">
        <f>IF(ISNUMBER(MATCH(A847, search_page!$A:$A, 0)), "Yes", "No")</f>
        <v>Yes</v>
      </c>
    </row>
    <row r="848" spans="1:6">
      <c r="A848">
        <v>1847</v>
      </c>
      <c r="B848" s="2">
        <v>45340.117361111108</v>
      </c>
      <c r="C848" t="str">
        <f>VLOOKUP(A848, user_table!$A:$B, 2, FALSE)</f>
        <v>Male</v>
      </c>
      <c r="D848" t="str">
        <f>VLOOKUP(A848, user_table!$A:$F, 5, FALSE)</f>
        <v>Mobile</v>
      </c>
      <c r="E848" t="str">
        <f>VLOOKUP(A848, user_table!$A:$F, 6, FALSE)</f>
        <v>Social</v>
      </c>
      <c r="F848" s="1" t="str">
        <f>IF(ISNUMBER(MATCH(A848, search_page!$A:$A, 0)), "Yes", "No")</f>
        <v>No</v>
      </c>
    </row>
    <row r="849" spans="1:6">
      <c r="A849">
        <v>1848</v>
      </c>
      <c r="B849" s="2">
        <v>45371.410416666666</v>
      </c>
      <c r="C849" t="str">
        <f>VLOOKUP(A849, user_table!$A:$B, 2, FALSE)</f>
        <v>Female</v>
      </c>
      <c r="D849" t="str">
        <f>VLOOKUP(A849, user_table!$A:$F, 5, FALSE)</f>
        <v>Desktop</v>
      </c>
      <c r="E849" t="str">
        <f>VLOOKUP(A849, user_table!$A:$F, 6, FALSE)</f>
        <v>Direct</v>
      </c>
      <c r="F849" s="1" t="str">
        <f>IF(ISNUMBER(MATCH(A849, search_page!$A:$A, 0)), "Yes", "No")</f>
        <v>Yes</v>
      </c>
    </row>
    <row r="850" spans="1:6">
      <c r="A850">
        <v>1849</v>
      </c>
      <c r="B850" s="2">
        <v>45323.919444444444</v>
      </c>
      <c r="C850" t="str">
        <f>VLOOKUP(A850, user_table!$A:$B, 2, FALSE)</f>
        <v>Male</v>
      </c>
      <c r="D850" t="str">
        <f>VLOOKUP(A850, user_table!$A:$F, 5, FALSE)</f>
        <v>Desktop</v>
      </c>
      <c r="E850" t="str">
        <f>VLOOKUP(A850, user_table!$A:$F, 6, FALSE)</f>
        <v>Organic</v>
      </c>
      <c r="F850" s="1" t="str">
        <f>IF(ISNUMBER(MATCH(A850, search_page!$A:$A, 0)), "Yes", "No")</f>
        <v>No</v>
      </c>
    </row>
    <row r="851" spans="1:6">
      <c r="A851">
        <v>1850</v>
      </c>
      <c r="B851" s="2">
        <v>45302.339583333334</v>
      </c>
      <c r="C851" t="str">
        <f>VLOOKUP(A851, user_table!$A:$B, 2, FALSE)</f>
        <v>Female</v>
      </c>
      <c r="D851" t="str">
        <f>VLOOKUP(A851, user_table!$A:$F, 5, FALSE)</f>
        <v>Desktop</v>
      </c>
      <c r="E851" t="str">
        <f>VLOOKUP(A851, user_table!$A:$F, 6, FALSE)</f>
        <v>Paid</v>
      </c>
      <c r="F851" s="1" t="str">
        <f>IF(ISNUMBER(MATCH(A851, search_page!$A:$A, 0)), "Yes", "No")</f>
        <v>Yes</v>
      </c>
    </row>
    <row r="852" spans="1:6">
      <c r="A852">
        <v>1851</v>
      </c>
      <c r="B852" s="2">
        <v>45340.951388888891</v>
      </c>
      <c r="C852" t="str">
        <f>VLOOKUP(A852, user_table!$A:$B, 2, FALSE)</f>
        <v>Male</v>
      </c>
      <c r="D852" t="str">
        <f>VLOOKUP(A852, user_table!$A:$F, 5, FALSE)</f>
        <v>Tablet</v>
      </c>
      <c r="E852" t="str">
        <f>VLOOKUP(A852, user_table!$A:$F, 6, FALSE)</f>
        <v>Organic</v>
      </c>
      <c r="F852" s="1" t="str">
        <f>IF(ISNUMBER(MATCH(A852, search_page!$A:$A, 0)), "Yes", "No")</f>
        <v>No</v>
      </c>
    </row>
    <row r="853" spans="1:6">
      <c r="A853">
        <v>1852</v>
      </c>
      <c r="B853" s="2">
        <v>45373.199305555558</v>
      </c>
      <c r="C853" t="str">
        <f>VLOOKUP(A853, user_table!$A:$B, 2, FALSE)</f>
        <v>Female</v>
      </c>
      <c r="D853" t="str">
        <f>VLOOKUP(A853, user_table!$A:$F, 5, FALSE)</f>
        <v>Mobile</v>
      </c>
      <c r="E853" t="str">
        <f>VLOOKUP(A853, user_table!$A:$F, 6, FALSE)</f>
        <v>Social</v>
      </c>
      <c r="F853" s="1" t="str">
        <f>IF(ISNUMBER(MATCH(A853, search_page!$A:$A, 0)), "Yes", "No")</f>
        <v>No</v>
      </c>
    </row>
    <row r="854" spans="1:6">
      <c r="A854">
        <v>1853</v>
      </c>
      <c r="B854" s="2">
        <v>45341.432638888888</v>
      </c>
      <c r="C854" t="str">
        <f>VLOOKUP(A854, user_table!$A:$B, 2, FALSE)</f>
        <v>Male</v>
      </c>
      <c r="D854" t="str">
        <f>VLOOKUP(A854, user_table!$A:$F, 5, FALSE)</f>
        <v>Tablet</v>
      </c>
      <c r="E854" t="str">
        <f>VLOOKUP(A854, user_table!$A:$F, 6, FALSE)</f>
        <v>Social</v>
      </c>
      <c r="F854" s="1" t="str">
        <f>IF(ISNUMBER(MATCH(A854, search_page!$A:$A, 0)), "Yes", "No")</f>
        <v>No</v>
      </c>
    </row>
    <row r="855" spans="1:6">
      <c r="A855">
        <v>1854</v>
      </c>
      <c r="B855" s="2">
        <v>45305.083333333336</v>
      </c>
      <c r="C855" t="str">
        <f>VLOOKUP(A855, user_table!$A:$B, 2, FALSE)</f>
        <v>Female</v>
      </c>
      <c r="D855" t="str">
        <f>VLOOKUP(A855, user_table!$A:$F, 5, FALSE)</f>
        <v>Tablet</v>
      </c>
      <c r="E855" t="str">
        <f>VLOOKUP(A855, user_table!$A:$F, 6, FALSE)</f>
        <v>Paid</v>
      </c>
      <c r="F855" s="1" t="str">
        <f>IF(ISNUMBER(MATCH(A855, search_page!$A:$A, 0)), "Yes", "No")</f>
        <v>Yes</v>
      </c>
    </row>
    <row r="856" spans="1:6">
      <c r="A856">
        <v>1855</v>
      </c>
      <c r="B856" s="2">
        <v>45331.599305555559</v>
      </c>
      <c r="C856" t="str">
        <f>VLOOKUP(A856, user_table!$A:$B, 2, FALSE)</f>
        <v>Male</v>
      </c>
      <c r="D856" t="str">
        <f>VLOOKUP(A856, user_table!$A:$F, 5, FALSE)</f>
        <v>Desktop</v>
      </c>
      <c r="E856" t="str">
        <f>VLOOKUP(A856, user_table!$A:$F, 6, FALSE)</f>
        <v>Paid</v>
      </c>
      <c r="F856" s="1" t="str">
        <f>IF(ISNUMBER(MATCH(A856, search_page!$A:$A, 0)), "Yes", "No")</f>
        <v>Yes</v>
      </c>
    </row>
    <row r="857" spans="1:6">
      <c r="A857">
        <v>1856</v>
      </c>
      <c r="B857" s="2">
        <v>45326.130555555559</v>
      </c>
      <c r="C857" t="str">
        <f>VLOOKUP(A857, user_table!$A:$B, 2, FALSE)</f>
        <v>Male</v>
      </c>
      <c r="D857" t="str">
        <f>VLOOKUP(A857, user_table!$A:$F, 5, FALSE)</f>
        <v>Desktop</v>
      </c>
      <c r="E857" t="str">
        <f>VLOOKUP(A857, user_table!$A:$F, 6, FALSE)</f>
        <v>Email</v>
      </c>
      <c r="F857" s="1" t="str">
        <f>IF(ISNUMBER(MATCH(A857, search_page!$A:$A, 0)), "Yes", "No")</f>
        <v>Yes</v>
      </c>
    </row>
    <row r="858" spans="1:6">
      <c r="A858">
        <v>1857</v>
      </c>
      <c r="B858" s="2">
        <v>45303.227083333331</v>
      </c>
      <c r="C858" t="str">
        <f>VLOOKUP(A858, user_table!$A:$B, 2, FALSE)</f>
        <v>Male</v>
      </c>
      <c r="D858" t="str">
        <f>VLOOKUP(A858, user_table!$A:$F, 5, FALSE)</f>
        <v>Desktop</v>
      </c>
      <c r="E858" t="str">
        <f>VLOOKUP(A858, user_table!$A:$F, 6, FALSE)</f>
        <v>Organic</v>
      </c>
      <c r="F858" s="1" t="str">
        <f>IF(ISNUMBER(MATCH(A858, search_page!$A:$A, 0)), "Yes", "No")</f>
        <v>No</v>
      </c>
    </row>
    <row r="859" spans="1:6">
      <c r="A859">
        <v>1858</v>
      </c>
      <c r="B859" s="2">
        <v>45349.732638888891</v>
      </c>
      <c r="C859" t="str">
        <f>VLOOKUP(A859, user_table!$A:$B, 2, FALSE)</f>
        <v>Male</v>
      </c>
      <c r="D859" t="str">
        <f>VLOOKUP(A859, user_table!$A:$F, 5, FALSE)</f>
        <v>Desktop</v>
      </c>
      <c r="E859" t="str">
        <f>VLOOKUP(A859, user_table!$A:$F, 6, FALSE)</f>
        <v>Organic</v>
      </c>
      <c r="F859" s="1" t="str">
        <f>IF(ISNUMBER(MATCH(A859, search_page!$A:$A, 0)), "Yes", "No")</f>
        <v>Yes</v>
      </c>
    </row>
    <row r="860" spans="1:6">
      <c r="A860">
        <v>1859</v>
      </c>
      <c r="B860" s="2">
        <v>45357.54583333333</v>
      </c>
      <c r="C860" t="str">
        <f>VLOOKUP(A860, user_table!$A:$B, 2, FALSE)</f>
        <v>Female</v>
      </c>
      <c r="D860" t="str">
        <f>VLOOKUP(A860, user_table!$A:$F, 5, FALSE)</f>
        <v>Desktop</v>
      </c>
      <c r="E860" t="str">
        <f>VLOOKUP(A860, user_table!$A:$F, 6, FALSE)</f>
        <v>Email</v>
      </c>
      <c r="F860" s="1" t="str">
        <f>IF(ISNUMBER(MATCH(A860, search_page!$A:$A, 0)), "Yes", "No")</f>
        <v>No</v>
      </c>
    </row>
    <row r="861" spans="1:6">
      <c r="A861">
        <v>1860</v>
      </c>
      <c r="B861" s="2">
        <v>45295.098611111112</v>
      </c>
      <c r="C861" t="str">
        <f>VLOOKUP(A861, user_table!$A:$B, 2, FALSE)</f>
        <v>Male</v>
      </c>
      <c r="D861" t="str">
        <f>VLOOKUP(A861, user_table!$A:$F, 5, FALSE)</f>
        <v>Desktop</v>
      </c>
      <c r="E861" t="str">
        <f>VLOOKUP(A861, user_table!$A:$F, 6, FALSE)</f>
        <v>Social</v>
      </c>
      <c r="F861" s="1" t="str">
        <f>IF(ISNUMBER(MATCH(A861, search_page!$A:$A, 0)), "Yes", "No")</f>
        <v>Yes</v>
      </c>
    </row>
    <row r="862" spans="1:6">
      <c r="A862">
        <v>1861</v>
      </c>
      <c r="B862" s="2">
        <v>45362.109722222223</v>
      </c>
      <c r="C862" t="str">
        <f>VLOOKUP(A862, user_table!$A:$B, 2, FALSE)</f>
        <v>Female</v>
      </c>
      <c r="D862" t="str">
        <f>VLOOKUP(A862, user_table!$A:$F, 5, FALSE)</f>
        <v>Desktop</v>
      </c>
      <c r="E862" t="str">
        <f>VLOOKUP(A862, user_table!$A:$F, 6, FALSE)</f>
        <v>Email</v>
      </c>
      <c r="F862" s="1" t="str">
        <f>IF(ISNUMBER(MATCH(A862, search_page!$A:$A, 0)), "Yes", "No")</f>
        <v>No</v>
      </c>
    </row>
    <row r="863" spans="1:6">
      <c r="A863">
        <v>1862</v>
      </c>
      <c r="B863" s="2">
        <v>45368.454861111109</v>
      </c>
      <c r="C863" t="str">
        <f>VLOOKUP(A863, user_table!$A:$B, 2, FALSE)</f>
        <v>Male</v>
      </c>
      <c r="D863" t="str">
        <f>VLOOKUP(A863, user_table!$A:$F, 5, FALSE)</f>
        <v>Desktop</v>
      </c>
      <c r="E863" t="str">
        <f>VLOOKUP(A863, user_table!$A:$F, 6, FALSE)</f>
        <v>Social</v>
      </c>
      <c r="F863" s="1" t="str">
        <f>IF(ISNUMBER(MATCH(A863, search_page!$A:$A, 0)), "Yes", "No")</f>
        <v>Yes</v>
      </c>
    </row>
    <row r="864" spans="1:6">
      <c r="A864">
        <v>1863</v>
      </c>
      <c r="B864" s="2">
        <v>45341.012499999997</v>
      </c>
      <c r="C864" t="str">
        <f>VLOOKUP(A864, user_table!$A:$B, 2, FALSE)</f>
        <v>Female</v>
      </c>
      <c r="D864" t="str">
        <f>VLOOKUP(A864, user_table!$A:$F, 5, FALSE)</f>
        <v>Desktop</v>
      </c>
      <c r="E864" t="str">
        <f>VLOOKUP(A864, user_table!$A:$F, 6, FALSE)</f>
        <v>Email</v>
      </c>
      <c r="F864" s="1" t="str">
        <f>IF(ISNUMBER(MATCH(A864, search_page!$A:$A, 0)), "Yes", "No")</f>
        <v>No</v>
      </c>
    </row>
    <row r="865" spans="1:6">
      <c r="A865">
        <v>1864</v>
      </c>
      <c r="B865" s="2">
        <v>45344.53402777778</v>
      </c>
      <c r="C865" t="str">
        <f>VLOOKUP(A865, user_table!$A:$B, 2, FALSE)</f>
        <v>Male</v>
      </c>
      <c r="D865" t="str">
        <f>VLOOKUP(A865, user_table!$A:$F, 5, FALSE)</f>
        <v>Desktop</v>
      </c>
      <c r="E865" t="str">
        <f>VLOOKUP(A865, user_table!$A:$F, 6, FALSE)</f>
        <v>Paid</v>
      </c>
      <c r="F865" s="1" t="str">
        <f>IF(ISNUMBER(MATCH(A865, search_page!$A:$A, 0)), "Yes", "No")</f>
        <v>Yes</v>
      </c>
    </row>
    <row r="866" spans="1:6">
      <c r="A866">
        <v>1865</v>
      </c>
      <c r="B866" s="2">
        <v>45302.997916666667</v>
      </c>
      <c r="C866" t="str">
        <f>VLOOKUP(A866, user_table!$A:$B, 2, FALSE)</f>
        <v>Male</v>
      </c>
      <c r="D866" t="str">
        <f>VLOOKUP(A866, user_table!$A:$F, 5, FALSE)</f>
        <v>Tablet</v>
      </c>
      <c r="E866" t="str">
        <f>VLOOKUP(A866, user_table!$A:$F, 6, FALSE)</f>
        <v>Social</v>
      </c>
      <c r="F866" s="1" t="str">
        <f>IF(ISNUMBER(MATCH(A866, search_page!$A:$A, 0)), "Yes", "No")</f>
        <v>No</v>
      </c>
    </row>
    <row r="867" spans="1:6">
      <c r="A867">
        <v>1866</v>
      </c>
      <c r="B867" s="2">
        <v>45363.316666666666</v>
      </c>
      <c r="C867" t="str">
        <f>VLOOKUP(A867, user_table!$A:$B, 2, FALSE)</f>
        <v>Female</v>
      </c>
      <c r="D867" t="str">
        <f>VLOOKUP(A867, user_table!$A:$F, 5, FALSE)</f>
        <v>Mobile</v>
      </c>
      <c r="E867" t="str">
        <f>VLOOKUP(A867, user_table!$A:$F, 6, FALSE)</f>
        <v>Direct</v>
      </c>
      <c r="F867" s="1" t="str">
        <f>IF(ISNUMBER(MATCH(A867, search_page!$A:$A, 0)), "Yes", "No")</f>
        <v>Yes</v>
      </c>
    </row>
    <row r="868" spans="1:6">
      <c r="A868">
        <v>1867</v>
      </c>
      <c r="B868" s="2">
        <v>45358.238194444442</v>
      </c>
      <c r="C868" t="str">
        <f>VLOOKUP(A868, user_table!$A:$B, 2, FALSE)</f>
        <v>Male</v>
      </c>
      <c r="D868" t="str">
        <f>VLOOKUP(A868, user_table!$A:$F, 5, FALSE)</f>
        <v>Tablet</v>
      </c>
      <c r="E868" t="str">
        <f>VLOOKUP(A868, user_table!$A:$F, 6, FALSE)</f>
        <v>Social</v>
      </c>
      <c r="F868" s="1" t="str">
        <f>IF(ISNUMBER(MATCH(A868, search_page!$A:$A, 0)), "Yes", "No")</f>
        <v>Yes</v>
      </c>
    </row>
    <row r="869" spans="1:6">
      <c r="A869">
        <v>1868</v>
      </c>
      <c r="B869" s="2">
        <v>45340.213888888888</v>
      </c>
      <c r="C869" t="str">
        <f>VLOOKUP(A869, user_table!$A:$B, 2, FALSE)</f>
        <v>Male</v>
      </c>
      <c r="D869" t="str">
        <f>VLOOKUP(A869, user_table!$A:$F, 5, FALSE)</f>
        <v>Desktop</v>
      </c>
      <c r="E869" t="str">
        <f>VLOOKUP(A869, user_table!$A:$F, 6, FALSE)</f>
        <v>Organic</v>
      </c>
      <c r="F869" s="1" t="str">
        <f>IF(ISNUMBER(MATCH(A869, search_page!$A:$A, 0)), "Yes", "No")</f>
        <v>Yes</v>
      </c>
    </row>
    <row r="870" spans="1:6">
      <c r="A870">
        <v>1869</v>
      </c>
      <c r="B870" s="2">
        <v>45326.386805555558</v>
      </c>
      <c r="C870" t="str">
        <f>VLOOKUP(A870, user_table!$A:$B, 2, FALSE)</f>
        <v>Female</v>
      </c>
      <c r="D870" t="str">
        <f>VLOOKUP(A870, user_table!$A:$F, 5, FALSE)</f>
        <v>Desktop</v>
      </c>
      <c r="E870" t="str">
        <f>VLOOKUP(A870, user_table!$A:$F, 6, FALSE)</f>
        <v>Organic</v>
      </c>
      <c r="F870" s="1" t="str">
        <f>IF(ISNUMBER(MATCH(A870, search_page!$A:$A, 0)), "Yes", "No")</f>
        <v>Yes</v>
      </c>
    </row>
    <row r="871" spans="1:6">
      <c r="A871">
        <v>1870</v>
      </c>
      <c r="B871" s="2">
        <v>45355.169444444444</v>
      </c>
      <c r="C871" t="str">
        <f>VLOOKUP(A871, user_table!$A:$B, 2, FALSE)</f>
        <v>Female</v>
      </c>
      <c r="D871" t="str">
        <f>VLOOKUP(A871, user_table!$A:$F, 5, FALSE)</f>
        <v>Mobile</v>
      </c>
      <c r="E871" t="str">
        <f>VLOOKUP(A871, user_table!$A:$F, 6, FALSE)</f>
        <v>Organic</v>
      </c>
      <c r="F871" s="1" t="str">
        <f>IF(ISNUMBER(MATCH(A871, search_page!$A:$A, 0)), "Yes", "No")</f>
        <v>Yes</v>
      </c>
    </row>
    <row r="872" spans="1:6">
      <c r="A872">
        <v>1871</v>
      </c>
      <c r="B872" s="2">
        <v>45313.553472222222</v>
      </c>
      <c r="C872" t="str">
        <f>VLOOKUP(A872, user_table!$A:$B, 2, FALSE)</f>
        <v>Male</v>
      </c>
      <c r="D872" t="str">
        <f>VLOOKUP(A872, user_table!$A:$F, 5, FALSE)</f>
        <v>Desktop</v>
      </c>
      <c r="E872" t="str">
        <f>VLOOKUP(A872, user_table!$A:$F, 6, FALSE)</f>
        <v>Organic</v>
      </c>
      <c r="F872" s="1" t="str">
        <f>IF(ISNUMBER(MATCH(A872, search_page!$A:$A, 0)), "Yes", "No")</f>
        <v>Yes</v>
      </c>
    </row>
    <row r="873" spans="1:6">
      <c r="A873">
        <v>1872</v>
      </c>
      <c r="B873" s="2">
        <v>45345.395833333336</v>
      </c>
      <c r="C873" t="str">
        <f>VLOOKUP(A873, user_table!$A:$B, 2, FALSE)</f>
        <v>Male</v>
      </c>
      <c r="D873" t="str">
        <f>VLOOKUP(A873, user_table!$A:$F, 5, FALSE)</f>
        <v>Desktop</v>
      </c>
      <c r="E873" t="str">
        <f>VLOOKUP(A873, user_table!$A:$F, 6, FALSE)</f>
        <v>Paid</v>
      </c>
      <c r="F873" s="1" t="str">
        <f>IF(ISNUMBER(MATCH(A873, search_page!$A:$A, 0)), "Yes", "No")</f>
        <v>No</v>
      </c>
    </row>
    <row r="874" spans="1:6">
      <c r="A874">
        <v>1873</v>
      </c>
      <c r="B874" s="2">
        <v>45301.469444444447</v>
      </c>
      <c r="C874" t="str">
        <f>VLOOKUP(A874, user_table!$A:$B, 2, FALSE)</f>
        <v>Female</v>
      </c>
      <c r="D874" t="str">
        <f>VLOOKUP(A874, user_table!$A:$F, 5, FALSE)</f>
        <v>Desktop</v>
      </c>
      <c r="E874" t="str">
        <f>VLOOKUP(A874, user_table!$A:$F, 6, FALSE)</f>
        <v>Social</v>
      </c>
      <c r="F874" s="1" t="str">
        <f>IF(ISNUMBER(MATCH(A874, search_page!$A:$A, 0)), "Yes", "No")</f>
        <v>Yes</v>
      </c>
    </row>
    <row r="875" spans="1:6">
      <c r="A875">
        <v>1874</v>
      </c>
      <c r="B875" s="2">
        <v>45323.986111111109</v>
      </c>
      <c r="C875" t="str">
        <f>VLOOKUP(A875, user_table!$A:$B, 2, FALSE)</f>
        <v>Male</v>
      </c>
      <c r="D875" t="str">
        <f>VLOOKUP(A875, user_table!$A:$F, 5, FALSE)</f>
        <v>Desktop</v>
      </c>
      <c r="E875" t="str">
        <f>VLOOKUP(A875, user_table!$A:$F, 6, FALSE)</f>
        <v>Social</v>
      </c>
      <c r="F875" s="1" t="str">
        <f>IF(ISNUMBER(MATCH(A875, search_page!$A:$A, 0)), "Yes", "No")</f>
        <v>No</v>
      </c>
    </row>
    <row r="876" spans="1:6">
      <c r="A876">
        <v>1875</v>
      </c>
      <c r="B876" s="2">
        <v>45355.818749999999</v>
      </c>
      <c r="C876" t="str">
        <f>VLOOKUP(A876, user_table!$A:$B, 2, FALSE)</f>
        <v>Male</v>
      </c>
      <c r="D876" t="str">
        <f>VLOOKUP(A876, user_table!$A:$F, 5, FALSE)</f>
        <v>Desktop</v>
      </c>
      <c r="E876" t="str">
        <f>VLOOKUP(A876, user_table!$A:$F, 6, FALSE)</f>
        <v>Paid</v>
      </c>
      <c r="F876" s="1" t="str">
        <f>IF(ISNUMBER(MATCH(A876, search_page!$A:$A, 0)), "Yes", "No")</f>
        <v>Yes</v>
      </c>
    </row>
    <row r="877" spans="1:6">
      <c r="A877">
        <v>1876</v>
      </c>
      <c r="B877" s="2">
        <v>45317.587500000001</v>
      </c>
      <c r="C877" t="str">
        <f>VLOOKUP(A877, user_table!$A:$B, 2, FALSE)</f>
        <v>Male</v>
      </c>
      <c r="D877" t="str">
        <f>VLOOKUP(A877, user_table!$A:$F, 5, FALSE)</f>
        <v>Desktop</v>
      </c>
      <c r="E877" t="str">
        <f>VLOOKUP(A877, user_table!$A:$F, 6, FALSE)</f>
        <v>Social</v>
      </c>
      <c r="F877" s="1" t="str">
        <f>IF(ISNUMBER(MATCH(A877, search_page!$A:$A, 0)), "Yes", "No")</f>
        <v>Yes</v>
      </c>
    </row>
    <row r="878" spans="1:6">
      <c r="A878">
        <v>1877</v>
      </c>
      <c r="B878" s="2">
        <v>45309.375</v>
      </c>
      <c r="C878" t="str">
        <f>VLOOKUP(A878, user_table!$A:$B, 2, FALSE)</f>
        <v>Female</v>
      </c>
      <c r="D878" t="str">
        <f>VLOOKUP(A878, user_table!$A:$F, 5, FALSE)</f>
        <v>Mobile</v>
      </c>
      <c r="E878" t="str">
        <f>VLOOKUP(A878, user_table!$A:$F, 6, FALSE)</f>
        <v>Organic</v>
      </c>
      <c r="F878" s="1" t="str">
        <f>IF(ISNUMBER(MATCH(A878, search_page!$A:$A, 0)), "Yes", "No")</f>
        <v>Yes</v>
      </c>
    </row>
    <row r="879" spans="1:6">
      <c r="A879">
        <v>1878</v>
      </c>
      <c r="B879" s="2">
        <v>45342.453472222223</v>
      </c>
      <c r="C879" t="str">
        <f>VLOOKUP(A879, user_table!$A:$B, 2, FALSE)</f>
        <v>Female</v>
      </c>
      <c r="D879" t="str">
        <f>VLOOKUP(A879, user_table!$A:$F, 5, FALSE)</f>
        <v>Desktop</v>
      </c>
      <c r="E879" t="str">
        <f>VLOOKUP(A879, user_table!$A:$F, 6, FALSE)</f>
        <v>Organic</v>
      </c>
      <c r="F879" s="1" t="str">
        <f>IF(ISNUMBER(MATCH(A879, search_page!$A:$A, 0)), "Yes", "No")</f>
        <v>No</v>
      </c>
    </row>
    <row r="880" spans="1:6">
      <c r="A880">
        <v>1879</v>
      </c>
      <c r="B880" s="2">
        <v>45371.535416666666</v>
      </c>
      <c r="C880" t="str">
        <f>VLOOKUP(A880, user_table!$A:$B, 2, FALSE)</f>
        <v>Male</v>
      </c>
      <c r="D880" t="str">
        <f>VLOOKUP(A880, user_table!$A:$F, 5, FALSE)</f>
        <v>Desktop</v>
      </c>
      <c r="E880" t="str">
        <f>VLOOKUP(A880, user_table!$A:$F, 6, FALSE)</f>
        <v>Organic</v>
      </c>
      <c r="F880" s="1" t="str">
        <f>IF(ISNUMBER(MATCH(A880, search_page!$A:$A, 0)), "Yes", "No")</f>
        <v>No</v>
      </c>
    </row>
    <row r="881" spans="1:6">
      <c r="A881">
        <v>1880</v>
      </c>
      <c r="B881" s="2">
        <v>45334.597916666666</v>
      </c>
      <c r="C881" t="str">
        <f>VLOOKUP(A881, user_table!$A:$B, 2, FALSE)</f>
        <v>Male</v>
      </c>
      <c r="D881" t="str">
        <f>VLOOKUP(A881, user_table!$A:$F, 5, FALSE)</f>
        <v>Mobile</v>
      </c>
      <c r="E881" t="str">
        <f>VLOOKUP(A881, user_table!$A:$F, 6, FALSE)</f>
        <v>Paid</v>
      </c>
      <c r="F881" s="1" t="str">
        <f>IF(ISNUMBER(MATCH(A881, search_page!$A:$A, 0)), "Yes", "No")</f>
        <v>No</v>
      </c>
    </row>
    <row r="882" spans="1:6">
      <c r="A882">
        <v>1881</v>
      </c>
      <c r="B882" s="2">
        <v>45347.859722222223</v>
      </c>
      <c r="C882" t="str">
        <f>VLOOKUP(A882, user_table!$A:$B, 2, FALSE)</f>
        <v>Male</v>
      </c>
      <c r="D882" t="str">
        <f>VLOOKUP(A882, user_table!$A:$F, 5, FALSE)</f>
        <v>Desktop</v>
      </c>
      <c r="E882" t="str">
        <f>VLOOKUP(A882, user_table!$A:$F, 6, FALSE)</f>
        <v>Organic</v>
      </c>
      <c r="F882" s="1" t="str">
        <f>IF(ISNUMBER(MATCH(A882, search_page!$A:$A, 0)), "Yes", "No")</f>
        <v>No</v>
      </c>
    </row>
    <row r="883" spans="1:6">
      <c r="A883">
        <v>1882</v>
      </c>
      <c r="B883" s="2">
        <v>45309.388888888891</v>
      </c>
      <c r="C883" t="str">
        <f>VLOOKUP(A883, user_table!$A:$B, 2, FALSE)</f>
        <v>Female</v>
      </c>
      <c r="D883" t="str">
        <f>VLOOKUP(A883, user_table!$A:$F, 5, FALSE)</f>
        <v>Desktop</v>
      </c>
      <c r="E883" t="str">
        <f>VLOOKUP(A883, user_table!$A:$F, 6, FALSE)</f>
        <v>Organic</v>
      </c>
      <c r="F883" s="1" t="str">
        <f>IF(ISNUMBER(MATCH(A883, search_page!$A:$A, 0)), "Yes", "No")</f>
        <v>Yes</v>
      </c>
    </row>
    <row r="884" spans="1:6">
      <c r="A884">
        <v>1883</v>
      </c>
      <c r="B884" s="2">
        <v>45369.925000000003</v>
      </c>
      <c r="C884" t="str">
        <f>VLOOKUP(A884, user_table!$A:$B, 2, FALSE)</f>
        <v>Male</v>
      </c>
      <c r="D884" t="str">
        <f>VLOOKUP(A884, user_table!$A:$F, 5, FALSE)</f>
        <v>Tablet</v>
      </c>
      <c r="E884" t="str">
        <f>VLOOKUP(A884, user_table!$A:$F, 6, FALSE)</f>
        <v>Paid</v>
      </c>
      <c r="F884" s="1" t="str">
        <f>IF(ISNUMBER(MATCH(A884, search_page!$A:$A, 0)), "Yes", "No")</f>
        <v>Yes</v>
      </c>
    </row>
    <row r="885" spans="1:6">
      <c r="A885">
        <v>1884</v>
      </c>
      <c r="B885" s="2">
        <v>45353.424305555556</v>
      </c>
      <c r="C885" t="str">
        <f>VLOOKUP(A885, user_table!$A:$B, 2, FALSE)</f>
        <v>Male</v>
      </c>
      <c r="D885" t="str">
        <f>VLOOKUP(A885, user_table!$A:$F, 5, FALSE)</f>
        <v>Desktop</v>
      </c>
      <c r="E885" t="str">
        <f>VLOOKUP(A885, user_table!$A:$F, 6, FALSE)</f>
        <v>Email</v>
      </c>
      <c r="F885" s="1" t="str">
        <f>IF(ISNUMBER(MATCH(A885, search_page!$A:$A, 0)), "Yes", "No")</f>
        <v>No</v>
      </c>
    </row>
    <row r="886" spans="1:6">
      <c r="A886">
        <v>1885</v>
      </c>
      <c r="B886" s="2">
        <v>45342.429166666669</v>
      </c>
      <c r="C886" t="str">
        <f>VLOOKUP(A886, user_table!$A:$B, 2, FALSE)</f>
        <v>Female</v>
      </c>
      <c r="D886" t="str">
        <f>VLOOKUP(A886, user_table!$A:$F, 5, FALSE)</f>
        <v>Desktop</v>
      </c>
      <c r="E886" t="str">
        <f>VLOOKUP(A886, user_table!$A:$F, 6, FALSE)</f>
        <v>Organic</v>
      </c>
      <c r="F886" s="1" t="str">
        <f>IF(ISNUMBER(MATCH(A886, search_page!$A:$A, 0)), "Yes", "No")</f>
        <v>Yes</v>
      </c>
    </row>
    <row r="887" spans="1:6">
      <c r="A887">
        <v>1886</v>
      </c>
      <c r="B887" s="2">
        <v>45380.854861111111</v>
      </c>
      <c r="C887" t="str">
        <f>VLOOKUP(A887, user_table!$A:$B, 2, FALSE)</f>
        <v>Male</v>
      </c>
      <c r="D887" t="str">
        <f>VLOOKUP(A887, user_table!$A:$F, 5, FALSE)</f>
        <v>Desktop</v>
      </c>
      <c r="E887" t="str">
        <f>VLOOKUP(A887, user_table!$A:$F, 6, FALSE)</f>
        <v>Social</v>
      </c>
      <c r="F887" s="1" t="str">
        <f>IF(ISNUMBER(MATCH(A887, search_page!$A:$A, 0)), "Yes", "No")</f>
        <v>No</v>
      </c>
    </row>
    <row r="888" spans="1:6">
      <c r="A888">
        <v>1887</v>
      </c>
      <c r="B888" s="2">
        <v>45365.305555555555</v>
      </c>
      <c r="C888" t="str">
        <f>VLOOKUP(A888, user_table!$A:$B, 2, FALSE)</f>
        <v>Female</v>
      </c>
      <c r="D888" t="str">
        <f>VLOOKUP(A888, user_table!$A:$F, 5, FALSE)</f>
        <v>Desktop</v>
      </c>
      <c r="E888" t="str">
        <f>VLOOKUP(A888, user_table!$A:$F, 6, FALSE)</f>
        <v>Social</v>
      </c>
      <c r="F888" s="1" t="str">
        <f>IF(ISNUMBER(MATCH(A888, search_page!$A:$A, 0)), "Yes", "No")</f>
        <v>Yes</v>
      </c>
    </row>
    <row r="889" spans="1:6">
      <c r="A889">
        <v>1888</v>
      </c>
      <c r="B889" s="2">
        <v>45340.369444444441</v>
      </c>
      <c r="C889" t="str">
        <f>VLOOKUP(A889, user_table!$A:$B, 2, FALSE)</f>
        <v>Male</v>
      </c>
      <c r="D889" t="str">
        <f>VLOOKUP(A889, user_table!$A:$F, 5, FALSE)</f>
        <v>Mobile</v>
      </c>
      <c r="E889" t="str">
        <f>VLOOKUP(A889, user_table!$A:$F, 6, FALSE)</f>
        <v>Email</v>
      </c>
      <c r="F889" s="1" t="str">
        <f>IF(ISNUMBER(MATCH(A889, search_page!$A:$A, 0)), "Yes", "No")</f>
        <v>Yes</v>
      </c>
    </row>
    <row r="890" spans="1:6">
      <c r="A890">
        <v>1889</v>
      </c>
      <c r="B890" s="2">
        <v>45342.463194444441</v>
      </c>
      <c r="C890" t="str">
        <f>VLOOKUP(A890, user_table!$A:$B, 2, FALSE)</f>
        <v>Male</v>
      </c>
      <c r="D890" t="str">
        <f>VLOOKUP(A890, user_table!$A:$F, 5, FALSE)</f>
        <v>Mobile</v>
      </c>
      <c r="E890" t="str">
        <f>VLOOKUP(A890, user_table!$A:$F, 6, FALSE)</f>
        <v>Direct</v>
      </c>
      <c r="F890" s="1" t="str">
        <f>IF(ISNUMBER(MATCH(A890, search_page!$A:$A, 0)), "Yes", "No")</f>
        <v>No</v>
      </c>
    </row>
    <row r="891" spans="1:6">
      <c r="A891">
        <v>1890</v>
      </c>
      <c r="B891" s="2">
        <v>45364.275694444441</v>
      </c>
      <c r="C891" t="str">
        <f>VLOOKUP(A891, user_table!$A:$B, 2, FALSE)</f>
        <v>Male</v>
      </c>
      <c r="D891" t="str">
        <f>VLOOKUP(A891, user_table!$A:$F, 5, FALSE)</f>
        <v>Desktop</v>
      </c>
      <c r="E891" t="str">
        <f>VLOOKUP(A891, user_table!$A:$F, 6, FALSE)</f>
        <v>Organic</v>
      </c>
      <c r="F891" s="1" t="str">
        <f>IF(ISNUMBER(MATCH(A891, search_page!$A:$A, 0)), "Yes", "No")</f>
        <v>Yes</v>
      </c>
    </row>
    <row r="892" spans="1:6">
      <c r="A892">
        <v>1891</v>
      </c>
      <c r="B892" s="2">
        <v>45361.238194444442</v>
      </c>
      <c r="C892" t="str">
        <f>VLOOKUP(A892, user_table!$A:$B, 2, FALSE)</f>
        <v>Female</v>
      </c>
      <c r="D892" t="str">
        <f>VLOOKUP(A892, user_table!$A:$F, 5, FALSE)</f>
        <v>Mobile</v>
      </c>
      <c r="E892" t="str">
        <f>VLOOKUP(A892, user_table!$A:$F, 6, FALSE)</f>
        <v>Organic</v>
      </c>
      <c r="F892" s="1" t="str">
        <f>IF(ISNUMBER(MATCH(A892, search_page!$A:$A, 0)), "Yes", "No")</f>
        <v>Yes</v>
      </c>
    </row>
    <row r="893" spans="1:6">
      <c r="A893">
        <v>1892</v>
      </c>
      <c r="B893" s="2">
        <v>45362.031944444447</v>
      </c>
      <c r="C893" t="str">
        <f>VLOOKUP(A893, user_table!$A:$B, 2, FALSE)</f>
        <v>Female</v>
      </c>
      <c r="D893" t="str">
        <f>VLOOKUP(A893, user_table!$A:$F, 5, FALSE)</f>
        <v>Mobile</v>
      </c>
      <c r="E893" t="str">
        <f>VLOOKUP(A893, user_table!$A:$F, 6, FALSE)</f>
        <v>Email</v>
      </c>
      <c r="F893" s="1" t="str">
        <f>IF(ISNUMBER(MATCH(A893, search_page!$A:$A, 0)), "Yes", "No")</f>
        <v>No</v>
      </c>
    </row>
    <row r="894" spans="1:6">
      <c r="A894">
        <v>1893</v>
      </c>
      <c r="B894" s="2">
        <v>45351.925694444442</v>
      </c>
      <c r="C894" t="str">
        <f>VLOOKUP(A894, user_table!$A:$B, 2, FALSE)</f>
        <v>Female</v>
      </c>
      <c r="D894" t="str">
        <f>VLOOKUP(A894, user_table!$A:$F, 5, FALSE)</f>
        <v>Desktop</v>
      </c>
      <c r="E894" t="str">
        <f>VLOOKUP(A894, user_table!$A:$F, 6, FALSE)</f>
        <v>Paid</v>
      </c>
      <c r="F894" s="1" t="str">
        <f>IF(ISNUMBER(MATCH(A894, search_page!$A:$A, 0)), "Yes", "No")</f>
        <v>No</v>
      </c>
    </row>
    <row r="895" spans="1:6">
      <c r="A895">
        <v>1894</v>
      </c>
      <c r="B895" s="2">
        <v>45348.411805555559</v>
      </c>
      <c r="C895" t="str">
        <f>VLOOKUP(A895, user_table!$A:$B, 2, FALSE)</f>
        <v>Male</v>
      </c>
      <c r="D895" t="str">
        <f>VLOOKUP(A895, user_table!$A:$F, 5, FALSE)</f>
        <v>Mobile</v>
      </c>
      <c r="E895" t="str">
        <f>VLOOKUP(A895, user_table!$A:$F, 6, FALSE)</f>
        <v>Social</v>
      </c>
      <c r="F895" s="1" t="str">
        <f>IF(ISNUMBER(MATCH(A895, search_page!$A:$A, 0)), "Yes", "No")</f>
        <v>No</v>
      </c>
    </row>
    <row r="896" spans="1:6">
      <c r="A896">
        <v>1895</v>
      </c>
      <c r="B896" s="2">
        <v>45380.119444444441</v>
      </c>
      <c r="C896" t="str">
        <f>VLOOKUP(A896, user_table!$A:$B, 2, FALSE)</f>
        <v>Female</v>
      </c>
      <c r="D896" t="str">
        <f>VLOOKUP(A896, user_table!$A:$F, 5, FALSE)</f>
        <v>Desktop</v>
      </c>
      <c r="E896" t="str">
        <f>VLOOKUP(A896, user_table!$A:$F, 6, FALSE)</f>
        <v>Social</v>
      </c>
      <c r="F896" s="1" t="str">
        <f>IF(ISNUMBER(MATCH(A896, search_page!$A:$A, 0)), "Yes", "No")</f>
        <v>Yes</v>
      </c>
    </row>
    <row r="897" spans="1:6">
      <c r="A897">
        <v>1896</v>
      </c>
      <c r="B897" s="2">
        <v>45344.896527777775</v>
      </c>
      <c r="C897" t="str">
        <f>VLOOKUP(A897, user_table!$A:$B, 2, FALSE)</f>
        <v>Male</v>
      </c>
      <c r="D897" t="str">
        <f>VLOOKUP(A897, user_table!$A:$F, 5, FALSE)</f>
        <v>Desktop</v>
      </c>
      <c r="E897" t="str">
        <f>VLOOKUP(A897, user_table!$A:$F, 6, FALSE)</f>
        <v>Social</v>
      </c>
      <c r="F897" s="1" t="str">
        <f>IF(ISNUMBER(MATCH(A897, search_page!$A:$A, 0)), "Yes", "No")</f>
        <v>No</v>
      </c>
    </row>
    <row r="898" spans="1:6">
      <c r="A898">
        <v>1897</v>
      </c>
      <c r="B898" s="2">
        <v>45309.84652777778</v>
      </c>
      <c r="C898" t="str">
        <f>VLOOKUP(A898, user_table!$A:$B, 2, FALSE)</f>
        <v>Male</v>
      </c>
      <c r="D898" t="str">
        <f>VLOOKUP(A898, user_table!$A:$F, 5, FALSE)</f>
        <v>Desktop</v>
      </c>
      <c r="E898" t="str">
        <f>VLOOKUP(A898, user_table!$A:$F, 6, FALSE)</f>
        <v>Direct</v>
      </c>
      <c r="F898" s="1" t="str">
        <f>IF(ISNUMBER(MATCH(A898, search_page!$A:$A, 0)), "Yes", "No")</f>
        <v>No</v>
      </c>
    </row>
    <row r="899" spans="1:6">
      <c r="A899">
        <v>1898</v>
      </c>
      <c r="B899" s="2">
        <v>45322.362500000003</v>
      </c>
      <c r="C899" t="str">
        <f>VLOOKUP(A899, user_table!$A:$B, 2, FALSE)</f>
        <v>Female</v>
      </c>
      <c r="D899" t="str">
        <f>VLOOKUP(A899, user_table!$A:$F, 5, FALSE)</f>
        <v>Desktop</v>
      </c>
      <c r="E899" t="str">
        <f>VLOOKUP(A899, user_table!$A:$F, 6, FALSE)</f>
        <v>Direct</v>
      </c>
      <c r="F899" s="1" t="str">
        <f>IF(ISNUMBER(MATCH(A899, search_page!$A:$A, 0)), "Yes", "No")</f>
        <v>Yes</v>
      </c>
    </row>
    <row r="900" spans="1:6">
      <c r="A900">
        <v>1899</v>
      </c>
      <c r="B900" s="2">
        <v>45311.935416666667</v>
      </c>
      <c r="C900" t="str">
        <f>VLOOKUP(A900, user_table!$A:$B, 2, FALSE)</f>
        <v>Male</v>
      </c>
      <c r="D900" t="str">
        <f>VLOOKUP(A900, user_table!$A:$F, 5, FALSE)</f>
        <v>Desktop</v>
      </c>
      <c r="E900" t="str">
        <f>VLOOKUP(A900, user_table!$A:$F, 6, FALSE)</f>
        <v>Social</v>
      </c>
      <c r="F900" s="1" t="str">
        <f>IF(ISNUMBER(MATCH(A900, search_page!$A:$A, 0)), "Yes", "No")</f>
        <v>No</v>
      </c>
    </row>
    <row r="901" spans="1:6">
      <c r="A901">
        <v>1900</v>
      </c>
      <c r="B901" s="2">
        <v>45340.102777777778</v>
      </c>
      <c r="C901" t="str">
        <f>VLOOKUP(A901, user_table!$A:$B, 2, FALSE)</f>
        <v>Male</v>
      </c>
      <c r="D901" t="str">
        <f>VLOOKUP(A901, user_table!$A:$F, 5, FALSE)</f>
        <v>Mobile</v>
      </c>
      <c r="E901" t="str">
        <f>VLOOKUP(A901, user_table!$A:$F, 6, FALSE)</f>
        <v>Organic</v>
      </c>
      <c r="F901" s="1" t="str">
        <f>IF(ISNUMBER(MATCH(A901, search_page!$A:$A, 0)), "Yes", "No")</f>
        <v>Yes</v>
      </c>
    </row>
    <row r="902" spans="1:6">
      <c r="A902">
        <v>1901</v>
      </c>
      <c r="B902" s="2">
        <v>45368.650694444441</v>
      </c>
      <c r="C902" t="str">
        <f>VLOOKUP(A902, user_table!$A:$B, 2, FALSE)</f>
        <v>Male</v>
      </c>
      <c r="D902" t="str">
        <f>VLOOKUP(A902, user_table!$A:$F, 5, FALSE)</f>
        <v>Desktop</v>
      </c>
      <c r="E902" t="str">
        <f>VLOOKUP(A902, user_table!$A:$F, 6, FALSE)</f>
        <v>Email</v>
      </c>
      <c r="F902" s="1" t="str">
        <f>IF(ISNUMBER(MATCH(A902, search_page!$A:$A, 0)), "Yes", "No")</f>
        <v>No</v>
      </c>
    </row>
    <row r="903" spans="1:6">
      <c r="A903">
        <v>1902</v>
      </c>
      <c r="B903" s="2">
        <v>45343.730555555558</v>
      </c>
      <c r="C903" t="str">
        <f>VLOOKUP(A903, user_table!$A:$B, 2, FALSE)</f>
        <v>Male</v>
      </c>
      <c r="D903" t="str">
        <f>VLOOKUP(A903, user_table!$A:$F, 5, FALSE)</f>
        <v>Desktop</v>
      </c>
      <c r="E903" t="str">
        <f>VLOOKUP(A903, user_table!$A:$F, 6, FALSE)</f>
        <v>Organic</v>
      </c>
      <c r="F903" s="1" t="str">
        <f>IF(ISNUMBER(MATCH(A903, search_page!$A:$A, 0)), "Yes", "No")</f>
        <v>No</v>
      </c>
    </row>
    <row r="904" spans="1:6">
      <c r="A904">
        <v>1903</v>
      </c>
      <c r="B904" s="2">
        <v>45380.56527777778</v>
      </c>
      <c r="C904" t="str">
        <f>VLOOKUP(A904, user_table!$A:$B, 2, FALSE)</f>
        <v>Male</v>
      </c>
      <c r="D904" t="str">
        <f>VLOOKUP(A904, user_table!$A:$F, 5, FALSE)</f>
        <v>Desktop</v>
      </c>
      <c r="E904" t="str">
        <f>VLOOKUP(A904, user_table!$A:$F, 6, FALSE)</f>
        <v>Organic</v>
      </c>
      <c r="F904" s="1" t="str">
        <f>IF(ISNUMBER(MATCH(A904, search_page!$A:$A, 0)), "Yes", "No")</f>
        <v>No</v>
      </c>
    </row>
    <row r="905" spans="1:6">
      <c r="A905">
        <v>1904</v>
      </c>
      <c r="B905" s="2">
        <v>45296.488888888889</v>
      </c>
      <c r="C905" t="str">
        <f>VLOOKUP(A905, user_table!$A:$B, 2, FALSE)</f>
        <v>Female</v>
      </c>
      <c r="D905" t="str">
        <f>VLOOKUP(A905, user_table!$A:$F, 5, FALSE)</f>
        <v>Mobile</v>
      </c>
      <c r="E905" t="str">
        <f>VLOOKUP(A905, user_table!$A:$F, 6, FALSE)</f>
        <v>Email</v>
      </c>
      <c r="F905" s="1" t="str">
        <f>IF(ISNUMBER(MATCH(A905, search_page!$A:$A, 0)), "Yes", "No")</f>
        <v>Yes</v>
      </c>
    </row>
    <row r="906" spans="1:6">
      <c r="A906">
        <v>1905</v>
      </c>
      <c r="B906" s="2">
        <v>45360.819444444445</v>
      </c>
      <c r="C906" t="str">
        <f>VLOOKUP(A906, user_table!$A:$B, 2, FALSE)</f>
        <v>Male</v>
      </c>
      <c r="D906" t="str">
        <f>VLOOKUP(A906, user_table!$A:$F, 5, FALSE)</f>
        <v>Mobile</v>
      </c>
      <c r="E906" t="str">
        <f>VLOOKUP(A906, user_table!$A:$F, 6, FALSE)</f>
        <v>Organic</v>
      </c>
      <c r="F906" s="1" t="str">
        <f>IF(ISNUMBER(MATCH(A906, search_page!$A:$A, 0)), "Yes", "No")</f>
        <v>Yes</v>
      </c>
    </row>
    <row r="907" spans="1:6">
      <c r="A907">
        <v>1906</v>
      </c>
      <c r="B907" s="2">
        <v>45302.15902777778</v>
      </c>
      <c r="C907" t="str">
        <f>VLOOKUP(A907, user_table!$A:$B, 2, FALSE)</f>
        <v>Female</v>
      </c>
      <c r="D907" t="str">
        <f>VLOOKUP(A907, user_table!$A:$F, 5, FALSE)</f>
        <v>Mobile</v>
      </c>
      <c r="E907" t="str">
        <f>VLOOKUP(A907, user_table!$A:$F, 6, FALSE)</f>
        <v>Organic</v>
      </c>
      <c r="F907" s="1" t="str">
        <f>IF(ISNUMBER(MATCH(A907, search_page!$A:$A, 0)), "Yes", "No")</f>
        <v>Yes</v>
      </c>
    </row>
    <row r="908" spans="1:6">
      <c r="A908">
        <v>1907</v>
      </c>
      <c r="B908" s="2">
        <v>45323.904166666667</v>
      </c>
      <c r="C908" t="str">
        <f>VLOOKUP(A908, user_table!$A:$B, 2, FALSE)</f>
        <v>Female</v>
      </c>
      <c r="D908" t="str">
        <f>VLOOKUP(A908, user_table!$A:$F, 5, FALSE)</f>
        <v>Mobile</v>
      </c>
      <c r="E908" t="str">
        <f>VLOOKUP(A908, user_table!$A:$F, 6, FALSE)</f>
        <v>Organic</v>
      </c>
      <c r="F908" s="1" t="str">
        <f>IF(ISNUMBER(MATCH(A908, search_page!$A:$A, 0)), "Yes", "No")</f>
        <v>Yes</v>
      </c>
    </row>
    <row r="909" spans="1:6">
      <c r="A909">
        <v>1908</v>
      </c>
      <c r="B909" s="2">
        <v>45337.236805555556</v>
      </c>
      <c r="C909" t="str">
        <f>VLOOKUP(A909, user_table!$A:$B, 2, FALSE)</f>
        <v>Male</v>
      </c>
      <c r="D909" t="str">
        <f>VLOOKUP(A909, user_table!$A:$F, 5, FALSE)</f>
        <v>Tablet</v>
      </c>
      <c r="E909" t="str">
        <f>VLOOKUP(A909, user_table!$A:$F, 6, FALSE)</f>
        <v>Email</v>
      </c>
      <c r="F909" s="1" t="str">
        <f>IF(ISNUMBER(MATCH(A909, search_page!$A:$A, 0)), "Yes", "No")</f>
        <v>Yes</v>
      </c>
    </row>
    <row r="910" spans="1:6">
      <c r="A910">
        <v>1909</v>
      </c>
      <c r="B910" s="2">
        <v>45370.066666666666</v>
      </c>
      <c r="C910" t="str">
        <f>VLOOKUP(A910, user_table!$A:$B, 2, FALSE)</f>
        <v>Male</v>
      </c>
      <c r="D910" t="str">
        <f>VLOOKUP(A910, user_table!$A:$F, 5, FALSE)</f>
        <v>Desktop</v>
      </c>
      <c r="E910" t="str">
        <f>VLOOKUP(A910, user_table!$A:$F, 6, FALSE)</f>
        <v>Paid</v>
      </c>
      <c r="F910" s="1" t="str">
        <f>IF(ISNUMBER(MATCH(A910, search_page!$A:$A, 0)), "Yes", "No")</f>
        <v>Yes</v>
      </c>
    </row>
    <row r="911" spans="1:6">
      <c r="A911">
        <v>1910</v>
      </c>
      <c r="B911" s="2">
        <v>45374.90347222222</v>
      </c>
      <c r="C911" t="str">
        <f>VLOOKUP(A911, user_table!$A:$B, 2, FALSE)</f>
        <v>Male</v>
      </c>
      <c r="D911" t="str">
        <f>VLOOKUP(A911, user_table!$A:$F, 5, FALSE)</f>
        <v>Mobile</v>
      </c>
      <c r="E911" t="str">
        <f>VLOOKUP(A911, user_table!$A:$F, 6, FALSE)</f>
        <v>Social</v>
      </c>
      <c r="F911" s="1" t="str">
        <f>IF(ISNUMBER(MATCH(A911, search_page!$A:$A, 0)), "Yes", "No")</f>
        <v>No</v>
      </c>
    </row>
    <row r="912" spans="1:6">
      <c r="A912">
        <v>1911</v>
      </c>
      <c r="B912" s="2">
        <v>45343.451388888891</v>
      </c>
      <c r="C912" t="str">
        <f>VLOOKUP(A912, user_table!$A:$B, 2, FALSE)</f>
        <v>Female</v>
      </c>
      <c r="D912" t="str">
        <f>VLOOKUP(A912, user_table!$A:$F, 5, FALSE)</f>
        <v>Mobile</v>
      </c>
      <c r="E912" t="str">
        <f>VLOOKUP(A912, user_table!$A:$F, 6, FALSE)</f>
        <v>Organic</v>
      </c>
      <c r="F912" s="1" t="str">
        <f>IF(ISNUMBER(MATCH(A912, search_page!$A:$A, 0)), "Yes", "No")</f>
        <v>No</v>
      </c>
    </row>
    <row r="913" spans="1:6">
      <c r="A913">
        <v>1912</v>
      </c>
      <c r="B913" s="2">
        <v>45347.125</v>
      </c>
      <c r="C913" t="str">
        <f>VLOOKUP(A913, user_table!$A:$B, 2, FALSE)</f>
        <v>Male</v>
      </c>
      <c r="D913" t="str">
        <f>VLOOKUP(A913, user_table!$A:$F, 5, FALSE)</f>
        <v>Tablet</v>
      </c>
      <c r="E913" t="str">
        <f>VLOOKUP(A913, user_table!$A:$F, 6, FALSE)</f>
        <v>Email</v>
      </c>
      <c r="F913" s="1" t="str">
        <f>IF(ISNUMBER(MATCH(A913, search_page!$A:$A, 0)), "Yes", "No")</f>
        <v>No</v>
      </c>
    </row>
    <row r="914" spans="1:6">
      <c r="A914">
        <v>1913</v>
      </c>
      <c r="B914" s="2">
        <v>45304.343055555553</v>
      </c>
      <c r="C914" t="str">
        <f>VLOOKUP(A914, user_table!$A:$B, 2, FALSE)</f>
        <v>Female</v>
      </c>
      <c r="D914" t="str">
        <f>VLOOKUP(A914, user_table!$A:$F, 5, FALSE)</f>
        <v>Tablet</v>
      </c>
      <c r="E914" t="str">
        <f>VLOOKUP(A914, user_table!$A:$F, 6, FALSE)</f>
        <v>Email</v>
      </c>
      <c r="F914" s="1" t="str">
        <f>IF(ISNUMBER(MATCH(A914, search_page!$A:$A, 0)), "Yes", "No")</f>
        <v>Yes</v>
      </c>
    </row>
    <row r="915" spans="1:6">
      <c r="A915">
        <v>1914</v>
      </c>
      <c r="B915" s="2">
        <v>45357.981249999997</v>
      </c>
      <c r="C915" t="str">
        <f>VLOOKUP(A915, user_table!$A:$B, 2, FALSE)</f>
        <v>Male</v>
      </c>
      <c r="D915" t="str">
        <f>VLOOKUP(A915, user_table!$A:$F, 5, FALSE)</f>
        <v>Desktop</v>
      </c>
      <c r="E915" t="str">
        <f>VLOOKUP(A915, user_table!$A:$F, 6, FALSE)</f>
        <v>Paid</v>
      </c>
      <c r="F915" s="1" t="str">
        <f>IF(ISNUMBER(MATCH(A915, search_page!$A:$A, 0)), "Yes", "No")</f>
        <v>Yes</v>
      </c>
    </row>
    <row r="916" spans="1:6">
      <c r="A916">
        <v>1915</v>
      </c>
      <c r="B916" s="2">
        <v>45363.780555555553</v>
      </c>
      <c r="C916" t="str">
        <f>VLOOKUP(A916, user_table!$A:$B, 2, FALSE)</f>
        <v>Female</v>
      </c>
      <c r="D916" t="str">
        <f>VLOOKUP(A916, user_table!$A:$F, 5, FALSE)</f>
        <v>Desktop</v>
      </c>
      <c r="E916" t="str">
        <f>VLOOKUP(A916, user_table!$A:$F, 6, FALSE)</f>
        <v>Paid</v>
      </c>
      <c r="F916" s="1" t="str">
        <f>IF(ISNUMBER(MATCH(A916, search_page!$A:$A, 0)), "Yes", "No")</f>
        <v>No</v>
      </c>
    </row>
    <row r="917" spans="1:6">
      <c r="A917">
        <v>1916</v>
      </c>
      <c r="B917" s="2">
        <v>45365.311111111114</v>
      </c>
      <c r="C917" t="str">
        <f>VLOOKUP(A917, user_table!$A:$B, 2, FALSE)</f>
        <v>Male</v>
      </c>
      <c r="D917" t="str">
        <f>VLOOKUP(A917, user_table!$A:$F, 5, FALSE)</f>
        <v>Desktop</v>
      </c>
      <c r="E917" t="str">
        <f>VLOOKUP(A917, user_table!$A:$F, 6, FALSE)</f>
        <v>Organic</v>
      </c>
      <c r="F917" s="1" t="str">
        <f>IF(ISNUMBER(MATCH(A917, search_page!$A:$A, 0)), "Yes", "No")</f>
        <v>No</v>
      </c>
    </row>
    <row r="918" spans="1:6">
      <c r="A918">
        <v>1917</v>
      </c>
      <c r="B918" s="2">
        <v>45339.520138888889</v>
      </c>
      <c r="C918" t="str">
        <f>VLOOKUP(A918, user_table!$A:$B, 2, FALSE)</f>
        <v>Male</v>
      </c>
      <c r="D918" t="str">
        <f>VLOOKUP(A918, user_table!$A:$F, 5, FALSE)</f>
        <v>Mobile</v>
      </c>
      <c r="E918" t="str">
        <f>VLOOKUP(A918, user_table!$A:$F, 6, FALSE)</f>
        <v>Direct</v>
      </c>
      <c r="F918" s="1" t="str">
        <f>IF(ISNUMBER(MATCH(A918, search_page!$A:$A, 0)), "Yes", "No")</f>
        <v>No</v>
      </c>
    </row>
    <row r="919" spans="1:6">
      <c r="A919">
        <v>1918</v>
      </c>
      <c r="B919" s="2">
        <v>45378.780555555553</v>
      </c>
      <c r="C919" t="str">
        <f>VLOOKUP(A919, user_table!$A:$B, 2, FALSE)</f>
        <v>Female</v>
      </c>
      <c r="D919" t="str">
        <f>VLOOKUP(A919, user_table!$A:$F, 5, FALSE)</f>
        <v>Desktop</v>
      </c>
      <c r="E919" t="str">
        <f>VLOOKUP(A919, user_table!$A:$F, 6, FALSE)</f>
        <v>Social</v>
      </c>
      <c r="F919" s="1" t="str">
        <f>IF(ISNUMBER(MATCH(A919, search_page!$A:$A, 0)), "Yes", "No")</f>
        <v>No</v>
      </c>
    </row>
    <row r="920" spans="1:6">
      <c r="A920">
        <v>1919</v>
      </c>
      <c r="B920" s="2">
        <v>45356.181944444441</v>
      </c>
      <c r="C920" t="str">
        <f>VLOOKUP(A920, user_table!$A:$B, 2, FALSE)</f>
        <v>Female</v>
      </c>
      <c r="D920" t="str">
        <f>VLOOKUP(A920, user_table!$A:$F, 5, FALSE)</f>
        <v>Desktop</v>
      </c>
      <c r="E920" t="str">
        <f>VLOOKUP(A920, user_table!$A:$F, 6, FALSE)</f>
        <v>Direct</v>
      </c>
      <c r="F920" s="1" t="str">
        <f>IF(ISNUMBER(MATCH(A920, search_page!$A:$A, 0)), "Yes", "No")</f>
        <v>No</v>
      </c>
    </row>
    <row r="921" spans="1:6">
      <c r="A921">
        <v>1920</v>
      </c>
      <c r="B921" s="2">
        <v>45295.629166666666</v>
      </c>
      <c r="C921" t="str">
        <f>VLOOKUP(A921, user_table!$A:$B, 2, FALSE)</f>
        <v>Male</v>
      </c>
      <c r="D921" t="str">
        <f>VLOOKUP(A921, user_table!$A:$F, 5, FALSE)</f>
        <v>Mobile</v>
      </c>
      <c r="E921" t="str">
        <f>VLOOKUP(A921, user_table!$A:$F, 6, FALSE)</f>
        <v>Paid</v>
      </c>
      <c r="F921" s="1" t="str">
        <f>IF(ISNUMBER(MATCH(A921, search_page!$A:$A, 0)), "Yes", "No")</f>
        <v>Yes</v>
      </c>
    </row>
    <row r="922" spans="1:6">
      <c r="A922">
        <v>1921</v>
      </c>
      <c r="B922" s="2">
        <v>45329.581944444442</v>
      </c>
      <c r="C922" t="str">
        <f>VLOOKUP(A922, user_table!$A:$B, 2, FALSE)</f>
        <v>Female</v>
      </c>
      <c r="D922" t="str">
        <f>VLOOKUP(A922, user_table!$A:$F, 5, FALSE)</f>
        <v>Desktop</v>
      </c>
      <c r="E922" t="str">
        <f>VLOOKUP(A922, user_table!$A:$F, 6, FALSE)</f>
        <v>Email</v>
      </c>
      <c r="F922" s="1" t="str">
        <f>IF(ISNUMBER(MATCH(A922, search_page!$A:$A, 0)), "Yes", "No")</f>
        <v>No</v>
      </c>
    </row>
    <row r="923" spans="1:6">
      <c r="A923">
        <v>1922</v>
      </c>
      <c r="B923" s="2">
        <v>45302.161805555559</v>
      </c>
      <c r="C923" t="str">
        <f>VLOOKUP(A923, user_table!$A:$B, 2, FALSE)</f>
        <v>Male</v>
      </c>
      <c r="D923" t="str">
        <f>VLOOKUP(A923, user_table!$A:$F, 5, FALSE)</f>
        <v>Tablet</v>
      </c>
      <c r="E923" t="str">
        <f>VLOOKUP(A923, user_table!$A:$F, 6, FALSE)</f>
        <v>Email</v>
      </c>
      <c r="F923" s="1" t="str">
        <f>IF(ISNUMBER(MATCH(A923, search_page!$A:$A, 0)), "Yes", "No")</f>
        <v>No</v>
      </c>
    </row>
    <row r="924" spans="1:6">
      <c r="A924">
        <v>1923</v>
      </c>
      <c r="B924" s="2">
        <v>45310.47152777778</v>
      </c>
      <c r="C924" t="str">
        <f>VLOOKUP(A924, user_table!$A:$B, 2, FALSE)</f>
        <v>Female</v>
      </c>
      <c r="D924" t="str">
        <f>VLOOKUP(A924, user_table!$A:$F, 5, FALSE)</f>
        <v>Desktop</v>
      </c>
      <c r="E924" t="str">
        <f>VLOOKUP(A924, user_table!$A:$F, 6, FALSE)</f>
        <v>Social</v>
      </c>
      <c r="F924" s="1" t="str">
        <f>IF(ISNUMBER(MATCH(A924, search_page!$A:$A, 0)), "Yes", "No")</f>
        <v>No</v>
      </c>
    </row>
    <row r="925" spans="1:6">
      <c r="A925">
        <v>1924</v>
      </c>
      <c r="B925" s="2">
        <v>45335.618055555555</v>
      </c>
      <c r="C925" t="str">
        <f>VLOOKUP(A925, user_table!$A:$B, 2, FALSE)</f>
        <v>Female</v>
      </c>
      <c r="D925" t="str">
        <f>VLOOKUP(A925, user_table!$A:$F, 5, FALSE)</f>
        <v>Desktop</v>
      </c>
      <c r="E925" t="str">
        <f>VLOOKUP(A925, user_table!$A:$F, 6, FALSE)</f>
        <v>Direct</v>
      </c>
      <c r="F925" s="1" t="str">
        <f>IF(ISNUMBER(MATCH(A925, search_page!$A:$A, 0)), "Yes", "No")</f>
        <v>Yes</v>
      </c>
    </row>
    <row r="926" spans="1:6">
      <c r="A926">
        <v>1925</v>
      </c>
      <c r="B926" s="2">
        <v>45318.6875</v>
      </c>
      <c r="C926" t="str">
        <f>VLOOKUP(A926, user_table!$A:$B, 2, FALSE)</f>
        <v>Male</v>
      </c>
      <c r="D926" t="str">
        <f>VLOOKUP(A926, user_table!$A:$F, 5, FALSE)</f>
        <v>Desktop</v>
      </c>
      <c r="E926" t="str">
        <f>VLOOKUP(A926, user_table!$A:$F, 6, FALSE)</f>
        <v>Paid</v>
      </c>
      <c r="F926" s="1" t="str">
        <f>IF(ISNUMBER(MATCH(A926, search_page!$A:$A, 0)), "Yes", "No")</f>
        <v>No</v>
      </c>
    </row>
    <row r="927" spans="1:6">
      <c r="A927">
        <v>1926</v>
      </c>
      <c r="B927" s="2">
        <v>45336.629166666666</v>
      </c>
      <c r="C927" t="str">
        <f>VLOOKUP(A927, user_table!$A:$B, 2, FALSE)</f>
        <v>Male</v>
      </c>
      <c r="D927" t="str">
        <f>VLOOKUP(A927, user_table!$A:$F, 5, FALSE)</f>
        <v>Mobile</v>
      </c>
      <c r="E927" t="str">
        <f>VLOOKUP(A927, user_table!$A:$F, 6, FALSE)</f>
        <v>Organic</v>
      </c>
      <c r="F927" s="1" t="str">
        <f>IF(ISNUMBER(MATCH(A927, search_page!$A:$A, 0)), "Yes", "No")</f>
        <v>Yes</v>
      </c>
    </row>
    <row r="928" spans="1:6">
      <c r="A928">
        <v>1927</v>
      </c>
      <c r="B928" s="2">
        <v>45348.988888888889</v>
      </c>
      <c r="C928" t="str">
        <f>VLOOKUP(A928, user_table!$A:$B, 2, FALSE)</f>
        <v>Male</v>
      </c>
      <c r="D928" t="str">
        <f>VLOOKUP(A928, user_table!$A:$F, 5, FALSE)</f>
        <v>Desktop</v>
      </c>
      <c r="E928" t="str">
        <f>VLOOKUP(A928, user_table!$A:$F, 6, FALSE)</f>
        <v>Social</v>
      </c>
      <c r="F928" s="1" t="str">
        <f>IF(ISNUMBER(MATCH(A928, search_page!$A:$A, 0)), "Yes", "No")</f>
        <v>No</v>
      </c>
    </row>
    <row r="929" spans="1:6">
      <c r="A929">
        <v>1928</v>
      </c>
      <c r="B929" s="2">
        <v>45349.419444444444</v>
      </c>
      <c r="C929" t="str">
        <f>VLOOKUP(A929, user_table!$A:$B, 2, FALSE)</f>
        <v>Female</v>
      </c>
      <c r="D929" t="str">
        <f>VLOOKUP(A929, user_table!$A:$F, 5, FALSE)</f>
        <v>Desktop</v>
      </c>
      <c r="E929" t="str">
        <f>VLOOKUP(A929, user_table!$A:$F, 6, FALSE)</f>
        <v>Social</v>
      </c>
      <c r="F929" s="1" t="str">
        <f>IF(ISNUMBER(MATCH(A929, search_page!$A:$A, 0)), "Yes", "No")</f>
        <v>Yes</v>
      </c>
    </row>
    <row r="930" spans="1:6">
      <c r="A930">
        <v>1929</v>
      </c>
      <c r="B930" s="2">
        <v>45330.07708333333</v>
      </c>
      <c r="C930" t="str">
        <f>VLOOKUP(A930, user_table!$A:$B, 2, FALSE)</f>
        <v>Female</v>
      </c>
      <c r="D930" t="str">
        <f>VLOOKUP(A930, user_table!$A:$F, 5, FALSE)</f>
        <v>Tablet</v>
      </c>
      <c r="E930" t="str">
        <f>VLOOKUP(A930, user_table!$A:$F, 6, FALSE)</f>
        <v>Social</v>
      </c>
      <c r="F930" s="1" t="str">
        <f>IF(ISNUMBER(MATCH(A930, search_page!$A:$A, 0)), "Yes", "No")</f>
        <v>No</v>
      </c>
    </row>
    <row r="931" spans="1:6">
      <c r="A931">
        <v>1930</v>
      </c>
      <c r="B931" s="2">
        <v>45306.037499999999</v>
      </c>
      <c r="C931" t="str">
        <f>VLOOKUP(A931, user_table!$A:$B, 2, FALSE)</f>
        <v>Male</v>
      </c>
      <c r="D931" t="str">
        <f>VLOOKUP(A931, user_table!$A:$F, 5, FALSE)</f>
        <v>Desktop</v>
      </c>
      <c r="E931" t="str">
        <f>VLOOKUP(A931, user_table!$A:$F, 6, FALSE)</f>
        <v>Organic</v>
      </c>
      <c r="F931" s="1" t="str">
        <f>IF(ISNUMBER(MATCH(A931, search_page!$A:$A, 0)), "Yes", "No")</f>
        <v>Yes</v>
      </c>
    </row>
    <row r="932" spans="1:6">
      <c r="A932">
        <v>1931</v>
      </c>
      <c r="B932" s="2">
        <v>45335.837500000001</v>
      </c>
      <c r="C932" t="str">
        <f>VLOOKUP(A932, user_table!$A:$B, 2, FALSE)</f>
        <v>Male</v>
      </c>
      <c r="D932" t="str">
        <f>VLOOKUP(A932, user_table!$A:$F, 5, FALSE)</f>
        <v>Mobile</v>
      </c>
      <c r="E932" t="str">
        <f>VLOOKUP(A932, user_table!$A:$F, 6, FALSE)</f>
        <v>Paid</v>
      </c>
      <c r="F932" s="1" t="str">
        <f>IF(ISNUMBER(MATCH(A932, search_page!$A:$A, 0)), "Yes", "No")</f>
        <v>Yes</v>
      </c>
    </row>
    <row r="933" spans="1:6">
      <c r="A933">
        <v>1932</v>
      </c>
      <c r="B933" s="2">
        <v>45378.249305555553</v>
      </c>
      <c r="C933" t="str">
        <f>VLOOKUP(A933, user_table!$A:$B, 2, FALSE)</f>
        <v>Female</v>
      </c>
      <c r="D933" t="str">
        <f>VLOOKUP(A933, user_table!$A:$F, 5, FALSE)</f>
        <v>Mobile</v>
      </c>
      <c r="E933" t="str">
        <f>VLOOKUP(A933, user_table!$A:$F, 6, FALSE)</f>
        <v>Paid</v>
      </c>
      <c r="F933" s="1" t="str">
        <f>IF(ISNUMBER(MATCH(A933, search_page!$A:$A, 0)), "Yes", "No")</f>
        <v>Yes</v>
      </c>
    </row>
    <row r="934" spans="1:6">
      <c r="A934">
        <v>1933</v>
      </c>
      <c r="B934" s="2">
        <v>45323.674305555556</v>
      </c>
      <c r="C934" t="str">
        <f>VLOOKUP(A934, user_table!$A:$B, 2, FALSE)</f>
        <v>Female</v>
      </c>
      <c r="D934" t="str">
        <f>VLOOKUP(A934, user_table!$A:$F, 5, FALSE)</f>
        <v>Desktop</v>
      </c>
      <c r="E934" t="str">
        <f>VLOOKUP(A934, user_table!$A:$F, 6, FALSE)</f>
        <v>Paid</v>
      </c>
      <c r="F934" s="1" t="str">
        <f>IF(ISNUMBER(MATCH(A934, search_page!$A:$A, 0)), "Yes", "No")</f>
        <v>No</v>
      </c>
    </row>
    <row r="935" spans="1:6">
      <c r="A935">
        <v>1934</v>
      </c>
      <c r="B935" s="2">
        <v>45362.222916666666</v>
      </c>
      <c r="C935" t="str">
        <f>VLOOKUP(A935, user_table!$A:$B, 2, FALSE)</f>
        <v>Female</v>
      </c>
      <c r="D935" t="str">
        <f>VLOOKUP(A935, user_table!$A:$F, 5, FALSE)</f>
        <v>Mobile</v>
      </c>
      <c r="E935" t="str">
        <f>VLOOKUP(A935, user_table!$A:$F, 6, FALSE)</f>
        <v>Social</v>
      </c>
      <c r="F935" s="1" t="str">
        <f>IF(ISNUMBER(MATCH(A935, search_page!$A:$A, 0)), "Yes", "No")</f>
        <v>Yes</v>
      </c>
    </row>
    <row r="936" spans="1:6">
      <c r="A936">
        <v>1935</v>
      </c>
      <c r="B936" s="2">
        <v>45363.561805555553</v>
      </c>
      <c r="C936" t="str">
        <f>VLOOKUP(A936, user_table!$A:$B, 2, FALSE)</f>
        <v>Male</v>
      </c>
      <c r="D936" t="str">
        <f>VLOOKUP(A936, user_table!$A:$F, 5, FALSE)</f>
        <v>Desktop</v>
      </c>
      <c r="E936" t="str">
        <f>VLOOKUP(A936, user_table!$A:$F, 6, FALSE)</f>
        <v>Social</v>
      </c>
      <c r="F936" s="1" t="str">
        <f>IF(ISNUMBER(MATCH(A936, search_page!$A:$A, 0)), "Yes", "No")</f>
        <v>No</v>
      </c>
    </row>
    <row r="937" spans="1:6">
      <c r="A937">
        <v>1936</v>
      </c>
      <c r="B937" s="2">
        <v>45321.527777777781</v>
      </c>
      <c r="C937" t="str">
        <f>VLOOKUP(A937, user_table!$A:$B, 2, FALSE)</f>
        <v>Male</v>
      </c>
      <c r="D937" t="str">
        <f>VLOOKUP(A937, user_table!$A:$F, 5, FALSE)</f>
        <v>Mobile</v>
      </c>
      <c r="E937" t="str">
        <f>VLOOKUP(A937, user_table!$A:$F, 6, FALSE)</f>
        <v>Organic</v>
      </c>
      <c r="F937" s="1" t="str">
        <f>IF(ISNUMBER(MATCH(A937, search_page!$A:$A, 0)), "Yes", "No")</f>
        <v>No</v>
      </c>
    </row>
    <row r="938" spans="1:6">
      <c r="A938">
        <v>1937</v>
      </c>
      <c r="B938" s="2">
        <v>45315.236111111109</v>
      </c>
      <c r="C938" t="str">
        <f>VLOOKUP(A938, user_table!$A:$B, 2, FALSE)</f>
        <v>Male</v>
      </c>
      <c r="D938" t="str">
        <f>VLOOKUP(A938, user_table!$A:$F, 5, FALSE)</f>
        <v>Desktop</v>
      </c>
      <c r="E938" t="str">
        <f>VLOOKUP(A938, user_table!$A:$F, 6, FALSE)</f>
        <v>Paid</v>
      </c>
      <c r="F938" s="1" t="str">
        <f>IF(ISNUMBER(MATCH(A938, search_page!$A:$A, 0)), "Yes", "No")</f>
        <v>Yes</v>
      </c>
    </row>
    <row r="939" spans="1:6">
      <c r="A939">
        <v>1938</v>
      </c>
      <c r="B939" s="2">
        <v>45376.559027777781</v>
      </c>
      <c r="C939" t="str">
        <f>VLOOKUP(A939, user_table!$A:$B, 2, FALSE)</f>
        <v>Female</v>
      </c>
      <c r="D939" t="str">
        <f>VLOOKUP(A939, user_table!$A:$F, 5, FALSE)</f>
        <v>Mobile</v>
      </c>
      <c r="E939" t="str">
        <f>VLOOKUP(A939, user_table!$A:$F, 6, FALSE)</f>
        <v>Organic</v>
      </c>
      <c r="F939" s="1" t="str">
        <f>IF(ISNUMBER(MATCH(A939, search_page!$A:$A, 0)), "Yes", "No")</f>
        <v>Yes</v>
      </c>
    </row>
    <row r="940" spans="1:6">
      <c r="A940">
        <v>1939</v>
      </c>
      <c r="B940" s="2">
        <v>45295.98541666667</v>
      </c>
      <c r="C940" t="str">
        <f>VLOOKUP(A940, user_table!$A:$B, 2, FALSE)</f>
        <v>Male</v>
      </c>
      <c r="D940" t="str">
        <f>VLOOKUP(A940, user_table!$A:$F, 5, FALSE)</f>
        <v>Desktop</v>
      </c>
      <c r="E940" t="str">
        <f>VLOOKUP(A940, user_table!$A:$F, 6, FALSE)</f>
        <v>Organic</v>
      </c>
      <c r="F940" s="1" t="str">
        <f>IF(ISNUMBER(MATCH(A940, search_page!$A:$A, 0)), "Yes", "No")</f>
        <v>Yes</v>
      </c>
    </row>
    <row r="941" spans="1:6">
      <c r="A941">
        <v>1940</v>
      </c>
      <c r="B941" s="2">
        <v>45317.609027777777</v>
      </c>
      <c r="C941" t="str">
        <f>VLOOKUP(A941, user_table!$A:$B, 2, FALSE)</f>
        <v>Female</v>
      </c>
      <c r="D941" t="str">
        <f>VLOOKUP(A941, user_table!$A:$F, 5, FALSE)</f>
        <v>Mobile</v>
      </c>
      <c r="E941" t="str">
        <f>VLOOKUP(A941, user_table!$A:$F, 6, FALSE)</f>
        <v>Email</v>
      </c>
      <c r="F941" s="1" t="str">
        <f>IF(ISNUMBER(MATCH(A941, search_page!$A:$A, 0)), "Yes", "No")</f>
        <v>No</v>
      </c>
    </row>
    <row r="942" spans="1:6">
      <c r="A942">
        <v>1941</v>
      </c>
      <c r="B942" s="2">
        <v>45346.5</v>
      </c>
      <c r="C942" t="str">
        <f>VLOOKUP(A942, user_table!$A:$B, 2, FALSE)</f>
        <v>Male</v>
      </c>
      <c r="D942" t="str">
        <f>VLOOKUP(A942, user_table!$A:$F, 5, FALSE)</f>
        <v>Desktop</v>
      </c>
      <c r="E942" t="str">
        <f>VLOOKUP(A942, user_table!$A:$F, 6, FALSE)</f>
        <v>Direct</v>
      </c>
      <c r="F942" s="1" t="str">
        <f>IF(ISNUMBER(MATCH(A942, search_page!$A:$A, 0)), "Yes", "No")</f>
        <v>No</v>
      </c>
    </row>
    <row r="943" spans="1:6">
      <c r="A943">
        <v>1942</v>
      </c>
      <c r="B943" s="2">
        <v>45319.261805555558</v>
      </c>
      <c r="C943" t="str">
        <f>VLOOKUP(A943, user_table!$A:$B, 2, FALSE)</f>
        <v>Female</v>
      </c>
      <c r="D943" t="str">
        <f>VLOOKUP(A943, user_table!$A:$F, 5, FALSE)</f>
        <v>Desktop</v>
      </c>
      <c r="E943" t="str">
        <f>VLOOKUP(A943, user_table!$A:$F, 6, FALSE)</f>
        <v>Paid</v>
      </c>
      <c r="F943" s="1" t="str">
        <f>IF(ISNUMBER(MATCH(A943, search_page!$A:$A, 0)), "Yes", "No")</f>
        <v>Yes</v>
      </c>
    </row>
    <row r="944" spans="1:6">
      <c r="A944">
        <v>1943</v>
      </c>
      <c r="B944" s="2">
        <v>45300.754166666666</v>
      </c>
      <c r="C944" t="str">
        <f>VLOOKUP(A944, user_table!$A:$B, 2, FALSE)</f>
        <v>Female</v>
      </c>
      <c r="D944" t="str">
        <f>VLOOKUP(A944, user_table!$A:$F, 5, FALSE)</f>
        <v>Desktop</v>
      </c>
      <c r="E944" t="str">
        <f>VLOOKUP(A944, user_table!$A:$F, 6, FALSE)</f>
        <v>Email</v>
      </c>
      <c r="F944" s="1" t="str">
        <f>IF(ISNUMBER(MATCH(A944, search_page!$A:$A, 0)), "Yes", "No")</f>
        <v>No</v>
      </c>
    </row>
    <row r="945" spans="1:6">
      <c r="A945">
        <v>1944</v>
      </c>
      <c r="B945" s="2">
        <v>45360.224305555559</v>
      </c>
      <c r="C945" t="str">
        <f>VLOOKUP(A945, user_table!$A:$B, 2, FALSE)</f>
        <v>Female</v>
      </c>
      <c r="D945" t="str">
        <f>VLOOKUP(A945, user_table!$A:$F, 5, FALSE)</f>
        <v>Desktop</v>
      </c>
      <c r="E945" t="str">
        <f>VLOOKUP(A945, user_table!$A:$F, 6, FALSE)</f>
        <v>Email</v>
      </c>
      <c r="F945" s="1" t="str">
        <f>IF(ISNUMBER(MATCH(A945, search_page!$A:$A, 0)), "Yes", "No")</f>
        <v>No</v>
      </c>
    </row>
    <row r="946" spans="1:6">
      <c r="A946">
        <v>1945</v>
      </c>
      <c r="B946" s="2">
        <v>45333.270138888889</v>
      </c>
      <c r="C946" t="str">
        <f>VLOOKUP(A946, user_table!$A:$B, 2, FALSE)</f>
        <v>Male</v>
      </c>
      <c r="D946" t="str">
        <f>VLOOKUP(A946, user_table!$A:$F, 5, FALSE)</f>
        <v>Mobile</v>
      </c>
      <c r="E946" t="str">
        <f>VLOOKUP(A946, user_table!$A:$F, 6, FALSE)</f>
        <v>Email</v>
      </c>
      <c r="F946" s="1" t="str">
        <f>IF(ISNUMBER(MATCH(A946, search_page!$A:$A, 0)), "Yes", "No")</f>
        <v>No</v>
      </c>
    </row>
    <row r="947" spans="1:6">
      <c r="A947">
        <v>1946</v>
      </c>
      <c r="B947" s="2">
        <v>45306.362500000003</v>
      </c>
      <c r="C947" t="str">
        <f>VLOOKUP(A947, user_table!$A:$B, 2, FALSE)</f>
        <v>Male</v>
      </c>
      <c r="D947" t="str">
        <f>VLOOKUP(A947, user_table!$A:$F, 5, FALSE)</f>
        <v>Desktop</v>
      </c>
      <c r="E947" t="str">
        <f>VLOOKUP(A947, user_table!$A:$F, 6, FALSE)</f>
        <v>Organic</v>
      </c>
      <c r="F947" s="1" t="str">
        <f>IF(ISNUMBER(MATCH(A947, search_page!$A:$A, 0)), "Yes", "No")</f>
        <v>No</v>
      </c>
    </row>
    <row r="948" spans="1:6">
      <c r="A948">
        <v>1947</v>
      </c>
      <c r="B948" s="2">
        <v>45354.694444444445</v>
      </c>
      <c r="C948" t="str">
        <f>VLOOKUP(A948, user_table!$A:$B, 2, FALSE)</f>
        <v>Male</v>
      </c>
      <c r="D948" t="str">
        <f>VLOOKUP(A948, user_table!$A:$F, 5, FALSE)</f>
        <v>Tablet</v>
      </c>
      <c r="E948" t="str">
        <f>VLOOKUP(A948, user_table!$A:$F, 6, FALSE)</f>
        <v>Direct</v>
      </c>
      <c r="F948" s="1" t="str">
        <f>IF(ISNUMBER(MATCH(A948, search_page!$A:$A, 0)), "Yes", "No")</f>
        <v>Yes</v>
      </c>
    </row>
    <row r="949" spans="1:6">
      <c r="A949">
        <v>1948</v>
      </c>
      <c r="B949" s="2">
        <v>45332.808333333334</v>
      </c>
      <c r="C949" t="str">
        <f>VLOOKUP(A949, user_table!$A:$B, 2, FALSE)</f>
        <v>Female</v>
      </c>
      <c r="D949" t="str">
        <f>VLOOKUP(A949, user_table!$A:$F, 5, FALSE)</f>
        <v>Tablet</v>
      </c>
      <c r="E949" t="str">
        <f>VLOOKUP(A949, user_table!$A:$F, 6, FALSE)</f>
        <v>Paid</v>
      </c>
      <c r="F949" s="1" t="str">
        <f>IF(ISNUMBER(MATCH(A949, search_page!$A:$A, 0)), "Yes", "No")</f>
        <v>Yes</v>
      </c>
    </row>
    <row r="950" spans="1:6">
      <c r="A950">
        <v>1949</v>
      </c>
      <c r="B950" s="2">
        <v>45370.525694444441</v>
      </c>
      <c r="C950" t="str">
        <f>VLOOKUP(A950, user_table!$A:$B, 2, FALSE)</f>
        <v>Female</v>
      </c>
      <c r="D950" t="str">
        <f>VLOOKUP(A950, user_table!$A:$F, 5, FALSE)</f>
        <v>Mobile</v>
      </c>
      <c r="E950" t="str">
        <f>VLOOKUP(A950, user_table!$A:$F, 6, FALSE)</f>
        <v>Paid</v>
      </c>
      <c r="F950" s="1" t="str">
        <f>IF(ISNUMBER(MATCH(A950, search_page!$A:$A, 0)), "Yes", "No")</f>
        <v>Yes</v>
      </c>
    </row>
    <row r="951" spans="1:6">
      <c r="A951">
        <v>1950</v>
      </c>
      <c r="B951" s="2">
        <v>45306.473611111112</v>
      </c>
      <c r="C951" t="str">
        <f>VLOOKUP(A951, user_table!$A:$B, 2, FALSE)</f>
        <v>Female</v>
      </c>
      <c r="D951" t="str">
        <f>VLOOKUP(A951, user_table!$A:$F, 5, FALSE)</f>
        <v>Desktop</v>
      </c>
      <c r="E951" t="str">
        <f>VLOOKUP(A951, user_table!$A:$F, 6, FALSE)</f>
        <v>Organic</v>
      </c>
      <c r="F951" s="1" t="str">
        <f>IF(ISNUMBER(MATCH(A951, search_page!$A:$A, 0)), "Yes", "No")</f>
        <v>No</v>
      </c>
    </row>
    <row r="952" spans="1:6">
      <c r="A952">
        <v>1951</v>
      </c>
      <c r="B952" s="2">
        <v>45350.799305555556</v>
      </c>
      <c r="C952" t="str">
        <f>VLOOKUP(A952, user_table!$A:$B, 2, FALSE)</f>
        <v>Female</v>
      </c>
      <c r="D952" t="str">
        <f>VLOOKUP(A952, user_table!$A:$F, 5, FALSE)</f>
        <v>Desktop</v>
      </c>
      <c r="E952" t="str">
        <f>VLOOKUP(A952, user_table!$A:$F, 6, FALSE)</f>
        <v>Paid</v>
      </c>
      <c r="F952" s="1" t="str">
        <f>IF(ISNUMBER(MATCH(A952, search_page!$A:$A, 0)), "Yes", "No")</f>
        <v>No</v>
      </c>
    </row>
    <row r="953" spans="1:6">
      <c r="A953">
        <v>1952</v>
      </c>
      <c r="B953" s="2">
        <v>45378.95208333333</v>
      </c>
      <c r="C953" t="str">
        <f>VLOOKUP(A953, user_table!$A:$B, 2, FALSE)</f>
        <v>Female</v>
      </c>
      <c r="D953" t="str">
        <f>VLOOKUP(A953, user_table!$A:$F, 5, FALSE)</f>
        <v>Mobile</v>
      </c>
      <c r="E953" t="str">
        <f>VLOOKUP(A953, user_table!$A:$F, 6, FALSE)</f>
        <v>Organic</v>
      </c>
      <c r="F953" s="1" t="str">
        <f>IF(ISNUMBER(MATCH(A953, search_page!$A:$A, 0)), "Yes", "No")</f>
        <v>Yes</v>
      </c>
    </row>
    <row r="954" spans="1:6">
      <c r="A954">
        <v>1953</v>
      </c>
      <c r="B954" s="2">
        <v>45330.817361111112</v>
      </c>
      <c r="C954" t="str">
        <f>VLOOKUP(A954, user_table!$A:$B, 2, FALSE)</f>
        <v>Male</v>
      </c>
      <c r="D954" t="str">
        <f>VLOOKUP(A954, user_table!$A:$F, 5, FALSE)</f>
        <v>Desktop</v>
      </c>
      <c r="E954" t="str">
        <f>VLOOKUP(A954, user_table!$A:$F, 6, FALSE)</f>
        <v>Organic</v>
      </c>
      <c r="F954" s="1" t="str">
        <f>IF(ISNUMBER(MATCH(A954, search_page!$A:$A, 0)), "Yes", "No")</f>
        <v>No</v>
      </c>
    </row>
    <row r="955" spans="1:6">
      <c r="A955">
        <v>1954</v>
      </c>
      <c r="B955" s="2">
        <v>45302.880555555559</v>
      </c>
      <c r="C955" t="str">
        <f>VLOOKUP(A955, user_table!$A:$B, 2, FALSE)</f>
        <v>Female</v>
      </c>
      <c r="D955" t="str">
        <f>VLOOKUP(A955, user_table!$A:$F, 5, FALSE)</f>
        <v>Desktop</v>
      </c>
      <c r="E955" t="str">
        <f>VLOOKUP(A955, user_table!$A:$F, 6, FALSE)</f>
        <v>Paid</v>
      </c>
      <c r="F955" s="1" t="str">
        <f>IF(ISNUMBER(MATCH(A955, search_page!$A:$A, 0)), "Yes", "No")</f>
        <v>Yes</v>
      </c>
    </row>
    <row r="956" spans="1:6">
      <c r="A956">
        <v>1955</v>
      </c>
      <c r="B956" s="2">
        <v>45332.135416666664</v>
      </c>
      <c r="C956" t="str">
        <f>VLOOKUP(A956, user_table!$A:$B, 2, FALSE)</f>
        <v>Male</v>
      </c>
      <c r="D956" t="str">
        <f>VLOOKUP(A956, user_table!$A:$F, 5, FALSE)</f>
        <v>Mobile</v>
      </c>
      <c r="E956" t="str">
        <f>VLOOKUP(A956, user_table!$A:$F, 6, FALSE)</f>
        <v>Email</v>
      </c>
      <c r="F956" s="1" t="str">
        <f>IF(ISNUMBER(MATCH(A956, search_page!$A:$A, 0)), "Yes", "No")</f>
        <v>Yes</v>
      </c>
    </row>
    <row r="957" spans="1:6">
      <c r="A957">
        <v>1956</v>
      </c>
      <c r="B957" s="2">
        <v>45331.132638888892</v>
      </c>
      <c r="C957" t="str">
        <f>VLOOKUP(A957, user_table!$A:$B, 2, FALSE)</f>
        <v>Male</v>
      </c>
      <c r="D957" t="str">
        <f>VLOOKUP(A957, user_table!$A:$F, 5, FALSE)</f>
        <v>Mobile</v>
      </c>
      <c r="E957" t="str">
        <f>VLOOKUP(A957, user_table!$A:$F, 6, FALSE)</f>
        <v>Email</v>
      </c>
      <c r="F957" s="1" t="str">
        <f>IF(ISNUMBER(MATCH(A957, search_page!$A:$A, 0)), "Yes", "No")</f>
        <v>Yes</v>
      </c>
    </row>
    <row r="958" spans="1:6">
      <c r="A958">
        <v>1957</v>
      </c>
      <c r="B958" s="2">
        <v>45339.92291666667</v>
      </c>
      <c r="C958" t="str">
        <f>VLOOKUP(A958, user_table!$A:$B, 2, FALSE)</f>
        <v>Male</v>
      </c>
      <c r="D958" t="str">
        <f>VLOOKUP(A958, user_table!$A:$F, 5, FALSE)</f>
        <v>Mobile</v>
      </c>
      <c r="E958" t="str">
        <f>VLOOKUP(A958, user_table!$A:$F, 6, FALSE)</f>
        <v>Paid</v>
      </c>
      <c r="F958" s="1" t="str">
        <f>IF(ISNUMBER(MATCH(A958, search_page!$A:$A, 0)), "Yes", "No")</f>
        <v>Yes</v>
      </c>
    </row>
    <row r="959" spans="1:6">
      <c r="A959">
        <v>1958</v>
      </c>
      <c r="B959" s="2">
        <v>45357.518055555556</v>
      </c>
      <c r="C959" t="str">
        <f>VLOOKUP(A959, user_table!$A:$B, 2, FALSE)</f>
        <v>Male</v>
      </c>
      <c r="D959" t="str">
        <f>VLOOKUP(A959, user_table!$A:$F, 5, FALSE)</f>
        <v>Desktop</v>
      </c>
      <c r="E959" t="str">
        <f>VLOOKUP(A959, user_table!$A:$F, 6, FALSE)</f>
        <v>Email</v>
      </c>
      <c r="F959" s="1" t="str">
        <f>IF(ISNUMBER(MATCH(A959, search_page!$A:$A, 0)), "Yes", "No")</f>
        <v>No</v>
      </c>
    </row>
    <row r="960" spans="1:6">
      <c r="A960">
        <v>1959</v>
      </c>
      <c r="B960" s="2">
        <v>45368.191666666666</v>
      </c>
      <c r="C960" t="str">
        <f>VLOOKUP(A960, user_table!$A:$B, 2, FALSE)</f>
        <v>Male</v>
      </c>
      <c r="D960" t="str">
        <f>VLOOKUP(A960, user_table!$A:$F, 5, FALSE)</f>
        <v>Mobile</v>
      </c>
      <c r="E960" t="str">
        <f>VLOOKUP(A960, user_table!$A:$F, 6, FALSE)</f>
        <v>Email</v>
      </c>
      <c r="F960" s="1" t="str">
        <f>IF(ISNUMBER(MATCH(A960, search_page!$A:$A, 0)), "Yes", "No")</f>
        <v>Yes</v>
      </c>
    </row>
    <row r="961" spans="1:6">
      <c r="A961">
        <v>1960</v>
      </c>
      <c r="B961" s="2">
        <v>45341.549305555556</v>
      </c>
      <c r="C961" t="str">
        <f>VLOOKUP(A961, user_table!$A:$B, 2, FALSE)</f>
        <v>Female</v>
      </c>
      <c r="D961" t="str">
        <f>VLOOKUP(A961, user_table!$A:$F, 5, FALSE)</f>
        <v>Desktop</v>
      </c>
      <c r="E961" t="str">
        <f>VLOOKUP(A961, user_table!$A:$F, 6, FALSE)</f>
        <v>Email</v>
      </c>
      <c r="F961" s="1" t="str">
        <f>IF(ISNUMBER(MATCH(A961, search_page!$A:$A, 0)), "Yes", "No")</f>
        <v>No</v>
      </c>
    </row>
    <row r="962" spans="1:6">
      <c r="A962">
        <v>1961</v>
      </c>
      <c r="B962" s="2">
        <v>45354.856944444444</v>
      </c>
      <c r="C962" t="str">
        <f>VLOOKUP(A962, user_table!$A:$B, 2, FALSE)</f>
        <v>Male</v>
      </c>
      <c r="D962" t="str">
        <f>VLOOKUP(A962, user_table!$A:$F, 5, FALSE)</f>
        <v>Desktop</v>
      </c>
      <c r="E962" t="str">
        <f>VLOOKUP(A962, user_table!$A:$F, 6, FALSE)</f>
        <v>Organic</v>
      </c>
      <c r="F962" s="1" t="str">
        <f>IF(ISNUMBER(MATCH(A962, search_page!$A:$A, 0)), "Yes", "No")</f>
        <v>Yes</v>
      </c>
    </row>
    <row r="963" spans="1:6">
      <c r="A963">
        <v>1962</v>
      </c>
      <c r="B963" s="2">
        <v>45380.874305555553</v>
      </c>
      <c r="C963" t="str">
        <f>VLOOKUP(A963, user_table!$A:$B, 2, FALSE)</f>
        <v>Female</v>
      </c>
      <c r="D963" t="str">
        <f>VLOOKUP(A963, user_table!$A:$F, 5, FALSE)</f>
        <v>Tablet</v>
      </c>
      <c r="E963" t="str">
        <f>VLOOKUP(A963, user_table!$A:$F, 6, FALSE)</f>
        <v>Social</v>
      </c>
      <c r="F963" s="1" t="str">
        <f>IF(ISNUMBER(MATCH(A963, search_page!$A:$A, 0)), "Yes", "No")</f>
        <v>No</v>
      </c>
    </row>
    <row r="964" spans="1:6">
      <c r="A964">
        <v>1963</v>
      </c>
      <c r="B964" s="2">
        <v>45314.715277777781</v>
      </c>
      <c r="C964" t="str">
        <f>VLOOKUP(A964, user_table!$A:$B, 2, FALSE)</f>
        <v>Male</v>
      </c>
      <c r="D964" t="str">
        <f>VLOOKUP(A964, user_table!$A:$F, 5, FALSE)</f>
        <v>Desktop</v>
      </c>
      <c r="E964" t="str">
        <f>VLOOKUP(A964, user_table!$A:$F, 6, FALSE)</f>
        <v>Direct</v>
      </c>
      <c r="F964" s="1" t="str">
        <f>IF(ISNUMBER(MATCH(A964, search_page!$A:$A, 0)), "Yes", "No")</f>
        <v>Yes</v>
      </c>
    </row>
    <row r="965" spans="1:6">
      <c r="A965">
        <v>1964</v>
      </c>
      <c r="B965" s="2">
        <v>45354.380555555559</v>
      </c>
      <c r="C965" t="str">
        <f>VLOOKUP(A965, user_table!$A:$B, 2, FALSE)</f>
        <v>Male</v>
      </c>
      <c r="D965" t="str">
        <f>VLOOKUP(A965, user_table!$A:$F, 5, FALSE)</f>
        <v>Desktop</v>
      </c>
      <c r="E965" t="str">
        <f>VLOOKUP(A965, user_table!$A:$F, 6, FALSE)</f>
        <v>Social</v>
      </c>
      <c r="F965" s="1" t="str">
        <f>IF(ISNUMBER(MATCH(A965, search_page!$A:$A, 0)), "Yes", "No")</f>
        <v>Yes</v>
      </c>
    </row>
    <row r="966" spans="1:6">
      <c r="A966">
        <v>1965</v>
      </c>
      <c r="B966" s="2">
        <v>45315.453472222223</v>
      </c>
      <c r="C966" t="str">
        <f>VLOOKUP(A966, user_table!$A:$B, 2, FALSE)</f>
        <v>Male</v>
      </c>
      <c r="D966" t="str">
        <f>VLOOKUP(A966, user_table!$A:$F, 5, FALSE)</f>
        <v>Desktop</v>
      </c>
      <c r="E966" t="str">
        <f>VLOOKUP(A966, user_table!$A:$F, 6, FALSE)</f>
        <v>Paid</v>
      </c>
      <c r="F966" s="1" t="str">
        <f>IF(ISNUMBER(MATCH(A966, search_page!$A:$A, 0)), "Yes", "No")</f>
        <v>Yes</v>
      </c>
    </row>
    <row r="967" spans="1:6">
      <c r="A967">
        <v>1966</v>
      </c>
      <c r="B967" s="2">
        <v>45349.793749999997</v>
      </c>
      <c r="C967" t="str">
        <f>VLOOKUP(A967, user_table!$A:$B, 2, FALSE)</f>
        <v>Male</v>
      </c>
      <c r="D967" t="str">
        <f>VLOOKUP(A967, user_table!$A:$F, 5, FALSE)</f>
        <v>Tablet</v>
      </c>
      <c r="E967" t="str">
        <f>VLOOKUP(A967, user_table!$A:$F, 6, FALSE)</f>
        <v>Paid</v>
      </c>
      <c r="F967" s="1" t="str">
        <f>IF(ISNUMBER(MATCH(A967, search_page!$A:$A, 0)), "Yes", "No")</f>
        <v>No</v>
      </c>
    </row>
    <row r="968" spans="1:6">
      <c r="A968">
        <v>1967</v>
      </c>
      <c r="B968" s="2">
        <v>45337.021527777775</v>
      </c>
      <c r="C968" t="str">
        <f>VLOOKUP(A968, user_table!$A:$B, 2, FALSE)</f>
        <v>Female</v>
      </c>
      <c r="D968" t="str">
        <f>VLOOKUP(A968, user_table!$A:$F, 5, FALSE)</f>
        <v>Mobile</v>
      </c>
      <c r="E968" t="str">
        <f>VLOOKUP(A968, user_table!$A:$F, 6, FALSE)</f>
        <v>Social</v>
      </c>
      <c r="F968" s="1" t="str">
        <f>IF(ISNUMBER(MATCH(A968, search_page!$A:$A, 0)), "Yes", "No")</f>
        <v>Yes</v>
      </c>
    </row>
    <row r="969" spans="1:6">
      <c r="A969">
        <v>1968</v>
      </c>
      <c r="B969" s="2">
        <v>45309.286111111112</v>
      </c>
      <c r="C969" t="str">
        <f>VLOOKUP(A969, user_table!$A:$B, 2, FALSE)</f>
        <v>Male</v>
      </c>
      <c r="D969" t="str">
        <f>VLOOKUP(A969, user_table!$A:$F, 5, FALSE)</f>
        <v>Mobile</v>
      </c>
      <c r="E969" t="str">
        <f>VLOOKUP(A969, user_table!$A:$F, 6, FALSE)</f>
        <v>Paid</v>
      </c>
      <c r="F969" s="1" t="str">
        <f>IF(ISNUMBER(MATCH(A969, search_page!$A:$A, 0)), "Yes", "No")</f>
        <v>Yes</v>
      </c>
    </row>
    <row r="970" spans="1:6">
      <c r="A970">
        <v>1969</v>
      </c>
      <c r="B970" s="2">
        <v>45341.730555555558</v>
      </c>
      <c r="C970" t="str">
        <f>VLOOKUP(A970, user_table!$A:$B, 2, FALSE)</f>
        <v>Female</v>
      </c>
      <c r="D970" t="str">
        <f>VLOOKUP(A970, user_table!$A:$F, 5, FALSE)</f>
        <v>Mobile</v>
      </c>
      <c r="E970" t="str">
        <f>VLOOKUP(A970, user_table!$A:$F, 6, FALSE)</f>
        <v>Organic</v>
      </c>
      <c r="F970" s="1" t="str">
        <f>IF(ISNUMBER(MATCH(A970, search_page!$A:$A, 0)), "Yes", "No")</f>
        <v>Yes</v>
      </c>
    </row>
    <row r="971" spans="1:6">
      <c r="A971">
        <v>1970</v>
      </c>
      <c r="B971" s="2">
        <v>45375.643055555556</v>
      </c>
      <c r="C971" t="str">
        <f>VLOOKUP(A971, user_table!$A:$B, 2, FALSE)</f>
        <v>Male</v>
      </c>
      <c r="D971" t="str">
        <f>VLOOKUP(A971, user_table!$A:$F, 5, FALSE)</f>
        <v>Desktop</v>
      </c>
      <c r="E971" t="str">
        <f>VLOOKUP(A971, user_table!$A:$F, 6, FALSE)</f>
        <v>Paid</v>
      </c>
      <c r="F971" s="1" t="str">
        <f>IF(ISNUMBER(MATCH(A971, search_page!$A:$A, 0)), "Yes", "No")</f>
        <v>No</v>
      </c>
    </row>
    <row r="972" spans="1:6">
      <c r="A972">
        <v>1971</v>
      </c>
      <c r="B972" s="2">
        <v>45379.643055555556</v>
      </c>
      <c r="C972" t="str">
        <f>VLOOKUP(A972, user_table!$A:$B, 2, FALSE)</f>
        <v>Female</v>
      </c>
      <c r="D972" t="str">
        <f>VLOOKUP(A972, user_table!$A:$F, 5, FALSE)</f>
        <v>Desktop</v>
      </c>
      <c r="E972" t="str">
        <f>VLOOKUP(A972, user_table!$A:$F, 6, FALSE)</f>
        <v>Email</v>
      </c>
      <c r="F972" s="1" t="str">
        <f>IF(ISNUMBER(MATCH(A972, search_page!$A:$A, 0)), "Yes", "No")</f>
        <v>Yes</v>
      </c>
    </row>
    <row r="973" spans="1:6">
      <c r="A973">
        <v>1972</v>
      </c>
      <c r="B973" s="2">
        <v>45348.631944444445</v>
      </c>
      <c r="C973" t="str">
        <f>VLOOKUP(A973, user_table!$A:$B, 2, FALSE)</f>
        <v>Female</v>
      </c>
      <c r="D973" t="str">
        <f>VLOOKUP(A973, user_table!$A:$F, 5, FALSE)</f>
        <v>Desktop</v>
      </c>
      <c r="E973" t="str">
        <f>VLOOKUP(A973, user_table!$A:$F, 6, FALSE)</f>
        <v>Email</v>
      </c>
      <c r="F973" s="1" t="str">
        <f>IF(ISNUMBER(MATCH(A973, search_page!$A:$A, 0)), "Yes", "No")</f>
        <v>Yes</v>
      </c>
    </row>
    <row r="974" spans="1:6">
      <c r="A974">
        <v>1973</v>
      </c>
      <c r="B974" s="2">
        <v>45302.750694444447</v>
      </c>
      <c r="C974" t="str">
        <f>VLOOKUP(A974, user_table!$A:$B, 2, FALSE)</f>
        <v>Female</v>
      </c>
      <c r="D974" t="str">
        <f>VLOOKUP(A974, user_table!$A:$F, 5, FALSE)</f>
        <v>Desktop</v>
      </c>
      <c r="E974" t="str">
        <f>VLOOKUP(A974, user_table!$A:$F, 6, FALSE)</f>
        <v>Organic</v>
      </c>
      <c r="F974" s="1" t="str">
        <f>IF(ISNUMBER(MATCH(A974, search_page!$A:$A, 0)), "Yes", "No")</f>
        <v>Yes</v>
      </c>
    </row>
    <row r="975" spans="1:6">
      <c r="A975">
        <v>1974</v>
      </c>
      <c r="B975" s="2">
        <v>45320.376388888886</v>
      </c>
      <c r="C975" t="str">
        <f>VLOOKUP(A975, user_table!$A:$B, 2, FALSE)</f>
        <v>Male</v>
      </c>
      <c r="D975" t="str">
        <f>VLOOKUP(A975, user_table!$A:$F, 5, FALSE)</f>
        <v>Desktop</v>
      </c>
      <c r="E975" t="str">
        <f>VLOOKUP(A975, user_table!$A:$F, 6, FALSE)</f>
        <v>Direct</v>
      </c>
      <c r="F975" s="1" t="str">
        <f>IF(ISNUMBER(MATCH(A975, search_page!$A:$A, 0)), "Yes", "No")</f>
        <v>Yes</v>
      </c>
    </row>
    <row r="976" spans="1:6">
      <c r="A976">
        <v>1975</v>
      </c>
      <c r="B976" s="2">
        <v>45327.31527777778</v>
      </c>
      <c r="C976" t="str">
        <f>VLOOKUP(A976, user_table!$A:$B, 2, FALSE)</f>
        <v>Male</v>
      </c>
      <c r="D976" t="str">
        <f>VLOOKUP(A976, user_table!$A:$F, 5, FALSE)</f>
        <v>Tablet</v>
      </c>
      <c r="E976" t="str">
        <f>VLOOKUP(A976, user_table!$A:$F, 6, FALSE)</f>
        <v>Paid</v>
      </c>
      <c r="F976" s="1" t="str">
        <f>IF(ISNUMBER(MATCH(A976, search_page!$A:$A, 0)), "Yes", "No")</f>
        <v>Yes</v>
      </c>
    </row>
    <row r="977" spans="1:6">
      <c r="A977">
        <v>1976</v>
      </c>
      <c r="B977" s="2">
        <v>45328.242361111108</v>
      </c>
      <c r="C977" t="str">
        <f>VLOOKUP(A977, user_table!$A:$B, 2, FALSE)</f>
        <v>Male</v>
      </c>
      <c r="D977" t="str">
        <f>VLOOKUP(A977, user_table!$A:$F, 5, FALSE)</f>
        <v>Desktop</v>
      </c>
      <c r="E977" t="str">
        <f>VLOOKUP(A977, user_table!$A:$F, 6, FALSE)</f>
        <v>Social</v>
      </c>
      <c r="F977" s="1" t="str">
        <f>IF(ISNUMBER(MATCH(A977, search_page!$A:$A, 0)), "Yes", "No")</f>
        <v>No</v>
      </c>
    </row>
    <row r="978" spans="1:6">
      <c r="A978">
        <v>1977</v>
      </c>
      <c r="B978" s="2">
        <v>45350.782638888886</v>
      </c>
      <c r="C978" t="str">
        <f>VLOOKUP(A978, user_table!$A:$B, 2, FALSE)</f>
        <v>Female</v>
      </c>
      <c r="D978" t="str">
        <f>VLOOKUP(A978, user_table!$A:$F, 5, FALSE)</f>
        <v>Desktop</v>
      </c>
      <c r="E978" t="str">
        <f>VLOOKUP(A978, user_table!$A:$F, 6, FALSE)</f>
        <v>Email</v>
      </c>
      <c r="F978" s="1" t="str">
        <f>IF(ISNUMBER(MATCH(A978, search_page!$A:$A, 0)), "Yes", "No")</f>
        <v>No</v>
      </c>
    </row>
    <row r="979" spans="1:6">
      <c r="A979">
        <v>1978</v>
      </c>
      <c r="B979" s="2">
        <v>45355.730555555558</v>
      </c>
      <c r="C979" t="str">
        <f>VLOOKUP(A979, user_table!$A:$B, 2, FALSE)</f>
        <v>Male</v>
      </c>
      <c r="D979" t="str">
        <f>VLOOKUP(A979, user_table!$A:$F, 5, FALSE)</f>
        <v>Desktop</v>
      </c>
      <c r="E979" t="str">
        <f>VLOOKUP(A979, user_table!$A:$F, 6, FALSE)</f>
        <v>Email</v>
      </c>
      <c r="F979" s="1" t="str">
        <f>IF(ISNUMBER(MATCH(A979, search_page!$A:$A, 0)), "Yes", "No")</f>
        <v>Yes</v>
      </c>
    </row>
    <row r="980" spans="1:6">
      <c r="A980">
        <v>1979</v>
      </c>
      <c r="B980" s="2">
        <v>45306.754861111112</v>
      </c>
      <c r="C980" t="str">
        <f>VLOOKUP(A980, user_table!$A:$B, 2, FALSE)</f>
        <v>Male</v>
      </c>
      <c r="D980" t="str">
        <f>VLOOKUP(A980, user_table!$A:$F, 5, FALSE)</f>
        <v>Desktop</v>
      </c>
      <c r="E980" t="str">
        <f>VLOOKUP(A980, user_table!$A:$F, 6, FALSE)</f>
        <v>Direct</v>
      </c>
      <c r="F980" s="1" t="str">
        <f>IF(ISNUMBER(MATCH(A980, search_page!$A:$A, 0)), "Yes", "No")</f>
        <v>Yes</v>
      </c>
    </row>
    <row r="981" spans="1:6">
      <c r="A981">
        <v>1980</v>
      </c>
      <c r="B981" s="2">
        <v>45326.744444444441</v>
      </c>
      <c r="C981" t="str">
        <f>VLOOKUP(A981, user_table!$A:$B, 2, FALSE)</f>
        <v>Female</v>
      </c>
      <c r="D981" t="str">
        <f>VLOOKUP(A981, user_table!$A:$F, 5, FALSE)</f>
        <v>Tablet</v>
      </c>
      <c r="E981" t="str">
        <f>VLOOKUP(A981, user_table!$A:$F, 6, FALSE)</f>
        <v>Paid</v>
      </c>
      <c r="F981" s="1" t="str">
        <f>IF(ISNUMBER(MATCH(A981, search_page!$A:$A, 0)), "Yes", "No")</f>
        <v>Yes</v>
      </c>
    </row>
    <row r="982" spans="1:6">
      <c r="A982">
        <v>1981</v>
      </c>
      <c r="B982" s="2">
        <v>45338.744444444441</v>
      </c>
      <c r="C982" t="str">
        <f>VLOOKUP(A982, user_table!$A:$B, 2, FALSE)</f>
        <v>Male</v>
      </c>
      <c r="D982" t="str">
        <f>VLOOKUP(A982, user_table!$A:$F, 5, FALSE)</f>
        <v>Desktop</v>
      </c>
      <c r="E982" t="str">
        <f>VLOOKUP(A982, user_table!$A:$F, 6, FALSE)</f>
        <v>Email</v>
      </c>
      <c r="F982" s="1" t="str">
        <f>IF(ISNUMBER(MATCH(A982, search_page!$A:$A, 0)), "Yes", "No")</f>
        <v>Yes</v>
      </c>
    </row>
    <row r="983" spans="1:6">
      <c r="A983">
        <v>1982</v>
      </c>
      <c r="B983" s="2">
        <v>45297.977777777778</v>
      </c>
      <c r="C983" t="str">
        <f>VLOOKUP(A983, user_table!$A:$B, 2, FALSE)</f>
        <v>Female</v>
      </c>
      <c r="D983" t="str">
        <f>VLOOKUP(A983, user_table!$A:$F, 5, FALSE)</f>
        <v>Desktop</v>
      </c>
      <c r="E983" t="str">
        <f>VLOOKUP(A983, user_table!$A:$F, 6, FALSE)</f>
        <v>Organic</v>
      </c>
      <c r="F983" s="1" t="str">
        <f>IF(ISNUMBER(MATCH(A983, search_page!$A:$A, 0)), "Yes", "No")</f>
        <v>No</v>
      </c>
    </row>
    <row r="984" spans="1:6">
      <c r="A984">
        <v>1983</v>
      </c>
      <c r="B984" s="2">
        <v>45361.268750000003</v>
      </c>
      <c r="C984" t="str">
        <f>VLOOKUP(A984, user_table!$A:$B, 2, FALSE)</f>
        <v>Male</v>
      </c>
      <c r="D984" t="str">
        <f>VLOOKUP(A984, user_table!$A:$F, 5, FALSE)</f>
        <v>Mobile</v>
      </c>
      <c r="E984" t="str">
        <f>VLOOKUP(A984, user_table!$A:$F, 6, FALSE)</f>
        <v>Social</v>
      </c>
      <c r="F984" s="1" t="str">
        <f>IF(ISNUMBER(MATCH(A984, search_page!$A:$A, 0)), "Yes", "No")</f>
        <v>Yes</v>
      </c>
    </row>
    <row r="985" spans="1:6">
      <c r="A985">
        <v>1984</v>
      </c>
      <c r="B985" s="2">
        <v>45305.995138888888</v>
      </c>
      <c r="C985" t="str">
        <f>VLOOKUP(A985, user_table!$A:$B, 2, FALSE)</f>
        <v>Male</v>
      </c>
      <c r="D985" t="str">
        <f>VLOOKUP(A985, user_table!$A:$F, 5, FALSE)</f>
        <v>Desktop</v>
      </c>
      <c r="E985" t="str">
        <f>VLOOKUP(A985, user_table!$A:$F, 6, FALSE)</f>
        <v>Social</v>
      </c>
      <c r="F985" s="1" t="str">
        <f>IF(ISNUMBER(MATCH(A985, search_page!$A:$A, 0)), "Yes", "No")</f>
        <v>Yes</v>
      </c>
    </row>
    <row r="986" spans="1:6">
      <c r="A986">
        <v>1985</v>
      </c>
      <c r="B986" s="2">
        <v>45375.304861111108</v>
      </c>
      <c r="C986" t="str">
        <f>VLOOKUP(A986, user_table!$A:$B, 2, FALSE)</f>
        <v>Female</v>
      </c>
      <c r="D986" t="str">
        <f>VLOOKUP(A986, user_table!$A:$F, 5, FALSE)</f>
        <v>Desktop</v>
      </c>
      <c r="E986" t="str">
        <f>VLOOKUP(A986, user_table!$A:$F, 6, FALSE)</f>
        <v>Social</v>
      </c>
      <c r="F986" s="1" t="str">
        <f>IF(ISNUMBER(MATCH(A986, search_page!$A:$A, 0)), "Yes", "No")</f>
        <v>No</v>
      </c>
    </row>
    <row r="987" spans="1:6">
      <c r="A987">
        <v>1986</v>
      </c>
      <c r="B987" s="2">
        <v>45296.594444444447</v>
      </c>
      <c r="C987" t="str">
        <f>VLOOKUP(A987, user_table!$A:$B, 2, FALSE)</f>
        <v>Male</v>
      </c>
      <c r="D987" t="str">
        <f>VLOOKUP(A987, user_table!$A:$F, 5, FALSE)</f>
        <v>Desktop</v>
      </c>
      <c r="E987" t="str">
        <f>VLOOKUP(A987, user_table!$A:$F, 6, FALSE)</f>
        <v>Organic</v>
      </c>
      <c r="F987" s="1" t="str">
        <f>IF(ISNUMBER(MATCH(A987, search_page!$A:$A, 0)), "Yes", "No")</f>
        <v>No</v>
      </c>
    </row>
    <row r="988" spans="1:6">
      <c r="A988">
        <v>1987</v>
      </c>
      <c r="B988" s="2">
        <v>45336.102777777778</v>
      </c>
      <c r="C988" t="str">
        <f>VLOOKUP(A988, user_table!$A:$B, 2, FALSE)</f>
        <v>Female</v>
      </c>
      <c r="D988" t="str">
        <f>VLOOKUP(A988, user_table!$A:$F, 5, FALSE)</f>
        <v>Mobile</v>
      </c>
      <c r="E988" t="str">
        <f>VLOOKUP(A988, user_table!$A:$F, 6, FALSE)</f>
        <v>Email</v>
      </c>
      <c r="F988" s="1" t="str">
        <f>IF(ISNUMBER(MATCH(A988, search_page!$A:$A, 0)), "Yes", "No")</f>
        <v>Yes</v>
      </c>
    </row>
    <row r="989" spans="1:6">
      <c r="A989">
        <v>1988</v>
      </c>
      <c r="B989" s="2">
        <v>45307.300694444442</v>
      </c>
      <c r="C989" t="str">
        <f>VLOOKUP(A989, user_table!$A:$B, 2, FALSE)</f>
        <v>Male</v>
      </c>
      <c r="D989" t="str">
        <f>VLOOKUP(A989, user_table!$A:$F, 5, FALSE)</f>
        <v>Tablet</v>
      </c>
      <c r="E989" t="str">
        <f>VLOOKUP(A989, user_table!$A:$F, 6, FALSE)</f>
        <v>Organic</v>
      </c>
      <c r="F989" s="1" t="str">
        <f>IF(ISNUMBER(MATCH(A989, search_page!$A:$A, 0)), "Yes", "No")</f>
        <v>No</v>
      </c>
    </row>
    <row r="990" spans="1:6">
      <c r="A990">
        <v>1989</v>
      </c>
      <c r="B990" s="2">
        <v>45367.931944444441</v>
      </c>
      <c r="C990" t="str">
        <f>VLOOKUP(A990, user_table!$A:$B, 2, FALSE)</f>
        <v>Male</v>
      </c>
      <c r="D990" t="str">
        <f>VLOOKUP(A990, user_table!$A:$F, 5, FALSE)</f>
        <v>Mobile</v>
      </c>
      <c r="E990" t="str">
        <f>VLOOKUP(A990, user_table!$A:$F, 6, FALSE)</f>
        <v>Organic</v>
      </c>
      <c r="F990" s="1" t="str">
        <f>IF(ISNUMBER(MATCH(A990, search_page!$A:$A, 0)), "Yes", "No")</f>
        <v>Yes</v>
      </c>
    </row>
    <row r="991" spans="1:6">
      <c r="A991">
        <v>1990</v>
      </c>
      <c r="B991" s="2">
        <v>45370.852083333331</v>
      </c>
      <c r="C991" t="str">
        <f>VLOOKUP(A991, user_table!$A:$B, 2, FALSE)</f>
        <v>Female</v>
      </c>
      <c r="D991" t="str">
        <f>VLOOKUP(A991, user_table!$A:$F, 5, FALSE)</f>
        <v>Desktop</v>
      </c>
      <c r="E991" t="str">
        <f>VLOOKUP(A991, user_table!$A:$F, 6, FALSE)</f>
        <v>Social</v>
      </c>
      <c r="F991" s="1" t="str">
        <f>IF(ISNUMBER(MATCH(A991, search_page!$A:$A, 0)), "Yes", "No")</f>
        <v>Yes</v>
      </c>
    </row>
    <row r="992" spans="1:6">
      <c r="A992">
        <v>1991</v>
      </c>
      <c r="B992" s="2">
        <v>45313.797222222223</v>
      </c>
      <c r="C992" t="str">
        <f>VLOOKUP(A992, user_table!$A:$B, 2, FALSE)</f>
        <v>Female</v>
      </c>
      <c r="D992" t="str">
        <f>VLOOKUP(A992, user_table!$A:$F, 5, FALSE)</f>
        <v>Mobile</v>
      </c>
      <c r="E992" t="str">
        <f>VLOOKUP(A992, user_table!$A:$F, 6, FALSE)</f>
        <v>Paid</v>
      </c>
      <c r="F992" s="1" t="str">
        <f>IF(ISNUMBER(MATCH(A992, search_page!$A:$A, 0)), "Yes", "No")</f>
        <v>Yes</v>
      </c>
    </row>
    <row r="993" spans="1:6">
      <c r="A993">
        <v>1992</v>
      </c>
      <c r="B993" s="2">
        <v>45318.285416666666</v>
      </c>
      <c r="C993" t="str">
        <f>VLOOKUP(A993, user_table!$A:$B, 2, FALSE)</f>
        <v>Female</v>
      </c>
      <c r="D993" t="str">
        <f>VLOOKUP(A993, user_table!$A:$F, 5, FALSE)</f>
        <v>Desktop</v>
      </c>
      <c r="E993" t="str">
        <f>VLOOKUP(A993, user_table!$A:$F, 6, FALSE)</f>
        <v>Email</v>
      </c>
      <c r="F993" s="1" t="str">
        <f>IF(ISNUMBER(MATCH(A993, search_page!$A:$A, 0)), "Yes", "No")</f>
        <v>No</v>
      </c>
    </row>
    <row r="994" spans="1:6">
      <c r="A994">
        <v>1993</v>
      </c>
      <c r="B994" s="2">
        <v>45299.765277777777</v>
      </c>
      <c r="C994" t="str">
        <f>VLOOKUP(A994, user_table!$A:$B, 2, FALSE)</f>
        <v>Male</v>
      </c>
      <c r="D994" t="str">
        <f>VLOOKUP(A994, user_table!$A:$F, 5, FALSE)</f>
        <v>Desktop</v>
      </c>
      <c r="E994" t="str">
        <f>VLOOKUP(A994, user_table!$A:$F, 6, FALSE)</f>
        <v>Paid</v>
      </c>
      <c r="F994" s="1" t="str">
        <f>IF(ISNUMBER(MATCH(A994, search_page!$A:$A, 0)), "Yes", "No")</f>
        <v>Yes</v>
      </c>
    </row>
    <row r="995" spans="1:6">
      <c r="A995">
        <v>1994</v>
      </c>
      <c r="B995" s="2">
        <v>45360.359722222223</v>
      </c>
      <c r="C995" t="str">
        <f>VLOOKUP(A995, user_table!$A:$B, 2, FALSE)</f>
        <v>Female</v>
      </c>
      <c r="D995" t="str">
        <f>VLOOKUP(A995, user_table!$A:$F, 5, FALSE)</f>
        <v>Desktop</v>
      </c>
      <c r="E995" t="str">
        <f>VLOOKUP(A995, user_table!$A:$F, 6, FALSE)</f>
        <v>Organic</v>
      </c>
      <c r="F995" s="1" t="str">
        <f>IF(ISNUMBER(MATCH(A995, search_page!$A:$A, 0)), "Yes", "No")</f>
        <v>No</v>
      </c>
    </row>
    <row r="996" spans="1:6">
      <c r="A996">
        <v>1995</v>
      </c>
      <c r="B996" s="2">
        <v>45360.222222222219</v>
      </c>
      <c r="C996" t="str">
        <f>VLOOKUP(A996, user_table!$A:$B, 2, FALSE)</f>
        <v>Male</v>
      </c>
      <c r="D996" t="str">
        <f>VLOOKUP(A996, user_table!$A:$F, 5, FALSE)</f>
        <v>Desktop</v>
      </c>
      <c r="E996" t="str">
        <f>VLOOKUP(A996, user_table!$A:$F, 6, FALSE)</f>
        <v>Email</v>
      </c>
      <c r="F996" s="1" t="str">
        <f>IF(ISNUMBER(MATCH(A996, search_page!$A:$A, 0)), "Yes", "No")</f>
        <v>Yes</v>
      </c>
    </row>
    <row r="997" spans="1:6">
      <c r="A997">
        <v>1996</v>
      </c>
      <c r="B997" s="2">
        <v>45329.4</v>
      </c>
      <c r="C997" t="str">
        <f>VLOOKUP(A997, user_table!$A:$B, 2, FALSE)</f>
        <v>Male</v>
      </c>
      <c r="D997" t="str">
        <f>VLOOKUP(A997, user_table!$A:$F, 5, FALSE)</f>
        <v>Mobile</v>
      </c>
      <c r="E997" t="str">
        <f>VLOOKUP(A997, user_table!$A:$F, 6, FALSE)</f>
        <v>Paid</v>
      </c>
      <c r="F997" s="1" t="str">
        <f>IF(ISNUMBER(MATCH(A997, search_page!$A:$A, 0)), "Yes", "No")</f>
        <v>No</v>
      </c>
    </row>
    <row r="998" spans="1:6">
      <c r="A998">
        <v>1997</v>
      </c>
      <c r="B998" s="2">
        <v>45326.706250000003</v>
      </c>
      <c r="C998" t="str">
        <f>VLOOKUP(A998, user_table!$A:$B, 2, FALSE)</f>
        <v>Female</v>
      </c>
      <c r="D998" t="str">
        <f>VLOOKUP(A998, user_table!$A:$F, 5, FALSE)</f>
        <v>Mobile</v>
      </c>
      <c r="E998" t="str">
        <f>VLOOKUP(A998, user_table!$A:$F, 6, FALSE)</f>
        <v>Organic</v>
      </c>
      <c r="F998" s="1" t="str">
        <f>IF(ISNUMBER(MATCH(A998, search_page!$A:$A, 0)), "Yes", "No")</f>
        <v>Yes</v>
      </c>
    </row>
    <row r="999" spans="1:6">
      <c r="A999">
        <v>1998</v>
      </c>
      <c r="B999" s="2">
        <v>45378.130555555559</v>
      </c>
      <c r="C999" t="str">
        <f>VLOOKUP(A999, user_table!$A:$B, 2, FALSE)</f>
        <v>Male</v>
      </c>
      <c r="D999" t="str">
        <f>VLOOKUP(A999, user_table!$A:$F, 5, FALSE)</f>
        <v>Tablet</v>
      </c>
      <c r="E999" t="str">
        <f>VLOOKUP(A999, user_table!$A:$F, 6, FALSE)</f>
        <v>Social</v>
      </c>
      <c r="F999" s="1" t="str">
        <f>IF(ISNUMBER(MATCH(A999, search_page!$A:$A, 0)), "Yes", "No")</f>
        <v>Yes</v>
      </c>
    </row>
    <row r="1000" spans="1:6">
      <c r="A1000">
        <v>1999</v>
      </c>
      <c r="B1000" s="2">
        <v>45344.053472222222</v>
      </c>
      <c r="C1000" t="str">
        <f>VLOOKUP(A1000, user_table!$A:$B, 2, FALSE)</f>
        <v>Female</v>
      </c>
      <c r="D1000" t="str">
        <f>VLOOKUP(A1000, user_table!$A:$F, 5, FALSE)</f>
        <v>Mobile</v>
      </c>
      <c r="E1000" t="str">
        <f>VLOOKUP(A1000, user_table!$A:$F, 6, FALSE)</f>
        <v>Paid</v>
      </c>
      <c r="F1000" s="1" t="str">
        <f>IF(ISNUMBER(MATCH(A1000, search_page!$A:$A, 0)), "Yes", "No")</f>
        <v>Yes</v>
      </c>
    </row>
    <row r="1001" spans="1:6">
      <c r="A1001">
        <v>2000</v>
      </c>
      <c r="B1001" s="2">
        <v>45375.197222222225</v>
      </c>
      <c r="C1001" t="str">
        <f>VLOOKUP(A1001, user_table!$A:$B, 2, FALSE)</f>
        <v>Male</v>
      </c>
      <c r="D1001" t="str">
        <f>VLOOKUP(A1001, user_table!$A:$F, 5, FALSE)</f>
        <v>Mobile</v>
      </c>
      <c r="E1001" t="str">
        <f>VLOOKUP(A1001, user_table!$A:$F, 6, FALSE)</f>
        <v>Social</v>
      </c>
      <c r="F1001" s="1" t="str">
        <f>IF(ISNUMBER(MATCH(A1001, search_page!$A:$A, 0)), "Yes", "No")</f>
        <v>Yes</v>
      </c>
    </row>
  </sheetData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F91B-747C-49A7-9404-91D89037429C}">
  <dimension ref="A1:J551"/>
  <sheetViews>
    <sheetView topLeftCell="A12" workbookViewId="0">
      <selection activeCell="M40" sqref="M40"/>
    </sheetView>
  </sheetViews>
  <sheetFormatPr defaultRowHeight="14.5"/>
  <cols>
    <col min="1" max="1" width="9.1796875" bestFit="1" customWidth="1"/>
    <col min="2" max="2" width="15.08984375" bestFit="1" customWidth="1"/>
    <col min="7" max="7" width="14.453125" bestFit="1" customWidth="1"/>
    <col min="8" max="8" width="15.6328125" bestFit="1" customWidth="1"/>
    <col min="9" max="9" width="4.81640625" bestFit="1" customWidth="1"/>
    <col min="10" max="10" width="10.36328125" bestFit="1" customWidth="1"/>
  </cols>
  <sheetData>
    <row r="1" spans="1:10">
      <c r="A1" t="s">
        <v>0</v>
      </c>
      <c r="B1" t="s">
        <v>21</v>
      </c>
      <c r="C1" t="s">
        <v>31</v>
      </c>
      <c r="D1" t="s">
        <v>32</v>
      </c>
      <c r="E1" t="s">
        <v>33</v>
      </c>
    </row>
    <row r="2" spans="1:10">
      <c r="A2">
        <v>1655</v>
      </c>
      <c r="B2" s="2">
        <v>45309.29791666667</v>
      </c>
      <c r="C2" t="str">
        <f>VLOOKUP(A2, user_table!$A:$B, 2, FALSE)</f>
        <v>Male</v>
      </c>
      <c r="D2" t="str">
        <f>VLOOKUP(A2, user_table!$A:$F, 5, FALSE)</f>
        <v>Desktop</v>
      </c>
      <c r="E2" t="str">
        <f>VLOOKUP(A2, user_table!$A:$F, 6, FALSE)</f>
        <v>Social</v>
      </c>
      <c r="G2" s="7" t="s">
        <v>36</v>
      </c>
      <c r="H2" s="7" t="s">
        <v>37</v>
      </c>
    </row>
    <row r="3" spans="1:10">
      <c r="A3">
        <v>1115</v>
      </c>
      <c r="B3" s="2">
        <v>45334.324999999997</v>
      </c>
      <c r="C3" t="str">
        <f>VLOOKUP(A3, user_table!$A:$B, 2, FALSE)</f>
        <v>Female</v>
      </c>
      <c r="D3" t="str">
        <f>VLOOKUP(A3, user_table!$A:$F, 5, FALSE)</f>
        <v>Desktop</v>
      </c>
      <c r="E3" t="str">
        <f>VLOOKUP(A3, user_table!$A:$F, 6, FALSE)</f>
        <v>Email</v>
      </c>
      <c r="G3" s="7" t="s">
        <v>34</v>
      </c>
      <c r="H3" t="s">
        <v>10</v>
      </c>
      <c r="I3" t="s">
        <v>6</v>
      </c>
      <c r="J3" t="s">
        <v>35</v>
      </c>
    </row>
    <row r="4" spans="1:10">
      <c r="A4">
        <v>1026</v>
      </c>
      <c r="B4" s="2">
        <v>45379.521527777775</v>
      </c>
      <c r="C4" t="str">
        <f>VLOOKUP(A4, user_table!$A:$B, 2, FALSE)</f>
        <v>Female</v>
      </c>
      <c r="D4" t="str">
        <f>VLOOKUP(A4, user_table!$A:$F, 5, FALSE)</f>
        <v>Desktop</v>
      </c>
      <c r="E4" t="str">
        <f>VLOOKUP(A4, user_table!$A:$F, 6, FALSE)</f>
        <v>Paid</v>
      </c>
      <c r="G4" s="8" t="s">
        <v>8</v>
      </c>
      <c r="H4" s="1">
        <v>134</v>
      </c>
      <c r="I4" s="1">
        <v>139</v>
      </c>
      <c r="J4" s="1">
        <v>273</v>
      </c>
    </row>
    <row r="5" spans="1:10">
      <c r="A5">
        <v>1760</v>
      </c>
      <c r="B5" s="2">
        <v>45311.777777777781</v>
      </c>
      <c r="C5" t="str">
        <f>VLOOKUP(A5, user_table!$A:$B, 2, FALSE)</f>
        <v>Female</v>
      </c>
      <c r="D5" t="str">
        <f>VLOOKUP(A5, user_table!$A:$F, 5, FALSE)</f>
        <v>Mobile</v>
      </c>
      <c r="E5" t="str">
        <f>VLOOKUP(A5, user_table!$A:$F, 6, FALSE)</f>
        <v>Direct</v>
      </c>
      <c r="G5" s="9" t="s">
        <v>20</v>
      </c>
      <c r="H5" s="1">
        <v>14</v>
      </c>
      <c r="I5" s="1">
        <v>8</v>
      </c>
      <c r="J5" s="1">
        <v>22</v>
      </c>
    </row>
    <row r="6" spans="1:10">
      <c r="A6">
        <v>1282</v>
      </c>
      <c r="B6" s="2">
        <v>45327.851388888892</v>
      </c>
      <c r="C6" t="str">
        <f>VLOOKUP(A6, user_table!$A:$B, 2, FALSE)</f>
        <v>Male</v>
      </c>
      <c r="D6" t="str">
        <f>VLOOKUP(A6, user_table!$A:$F, 5, FALSE)</f>
        <v>Mobile</v>
      </c>
      <c r="E6" t="str">
        <f>VLOOKUP(A6, user_table!$A:$F, 6, FALSE)</f>
        <v>Paid</v>
      </c>
      <c r="G6" s="9" t="s">
        <v>17</v>
      </c>
      <c r="H6" s="1">
        <v>24</v>
      </c>
      <c r="I6" s="1">
        <v>15</v>
      </c>
      <c r="J6" s="1">
        <v>39</v>
      </c>
    </row>
    <row r="7" spans="1:10">
      <c r="A7">
        <v>1251</v>
      </c>
      <c r="B7" s="2">
        <v>45341.586111111108</v>
      </c>
      <c r="C7" t="str">
        <f>VLOOKUP(A7, user_table!$A:$B, 2, FALSE)</f>
        <v>Male</v>
      </c>
      <c r="D7" t="str">
        <f>VLOOKUP(A7, user_table!$A:$F, 5, FALSE)</f>
        <v>Mobile</v>
      </c>
      <c r="E7" t="str">
        <f>VLOOKUP(A7, user_table!$A:$F, 6, FALSE)</f>
        <v>Organic</v>
      </c>
      <c r="G7" s="9" t="s">
        <v>9</v>
      </c>
      <c r="H7" s="1">
        <v>37</v>
      </c>
      <c r="I7" s="1">
        <v>44</v>
      </c>
      <c r="J7" s="1">
        <v>81</v>
      </c>
    </row>
    <row r="8" spans="1:10">
      <c r="A8">
        <v>1229</v>
      </c>
      <c r="B8" s="2">
        <v>45374.100694444445</v>
      </c>
      <c r="C8" t="str">
        <f>VLOOKUP(A8, user_table!$A:$B, 2, FALSE)</f>
        <v>Female</v>
      </c>
      <c r="D8" t="str">
        <f>VLOOKUP(A8, user_table!$A:$F, 5, FALSE)</f>
        <v>Desktop</v>
      </c>
      <c r="E8" t="str">
        <f>VLOOKUP(A8, user_table!$A:$F, 6, FALSE)</f>
        <v>Email</v>
      </c>
      <c r="G8" s="9" t="s">
        <v>15</v>
      </c>
      <c r="H8" s="1">
        <v>32</v>
      </c>
      <c r="I8" s="1">
        <v>34</v>
      </c>
      <c r="J8" s="1">
        <v>66</v>
      </c>
    </row>
    <row r="9" spans="1:10">
      <c r="A9">
        <v>1143</v>
      </c>
      <c r="B9" s="2">
        <v>45358.970138888886</v>
      </c>
      <c r="C9" t="str">
        <f>VLOOKUP(A9, user_table!$A:$B, 2, FALSE)</f>
        <v>Male</v>
      </c>
      <c r="D9" t="str">
        <f>VLOOKUP(A9, user_table!$A:$F, 5, FALSE)</f>
        <v>Mobile</v>
      </c>
      <c r="E9" t="str">
        <f>VLOOKUP(A9, user_table!$A:$F, 6, FALSE)</f>
        <v>Organic</v>
      </c>
      <c r="G9" s="9" t="s">
        <v>14</v>
      </c>
      <c r="H9" s="1">
        <v>27</v>
      </c>
      <c r="I9" s="1">
        <v>38</v>
      </c>
      <c r="J9" s="1">
        <v>65</v>
      </c>
    </row>
    <row r="10" spans="1:10">
      <c r="A10">
        <v>1755</v>
      </c>
      <c r="B10" s="2">
        <v>45381.478472222225</v>
      </c>
      <c r="C10" t="str">
        <f>VLOOKUP(A10, user_table!$A:$B, 2, FALSE)</f>
        <v>Male</v>
      </c>
      <c r="D10" t="str">
        <f>VLOOKUP(A10, user_table!$A:$F, 5, FALSE)</f>
        <v>Desktop</v>
      </c>
      <c r="E10" t="str">
        <f>VLOOKUP(A10, user_table!$A:$F, 6, FALSE)</f>
        <v>Paid</v>
      </c>
      <c r="G10" s="8" t="s">
        <v>12</v>
      </c>
      <c r="H10" s="1">
        <v>93</v>
      </c>
      <c r="I10" s="1">
        <v>111</v>
      </c>
      <c r="J10" s="1">
        <v>204</v>
      </c>
    </row>
    <row r="11" spans="1:10">
      <c r="A11">
        <v>1105</v>
      </c>
      <c r="B11" s="2">
        <v>45355.442361111112</v>
      </c>
      <c r="C11" t="str">
        <f>VLOOKUP(A11, user_table!$A:$B, 2, FALSE)</f>
        <v>Female</v>
      </c>
      <c r="D11" t="str">
        <f>VLOOKUP(A11, user_table!$A:$F, 5, FALSE)</f>
        <v>Mobile</v>
      </c>
      <c r="E11" t="str">
        <f>VLOOKUP(A11, user_table!$A:$F, 6, FALSE)</f>
        <v>Social</v>
      </c>
      <c r="G11" s="9" t="s">
        <v>20</v>
      </c>
      <c r="H11" s="1">
        <v>5</v>
      </c>
      <c r="I11" s="1">
        <v>11</v>
      </c>
      <c r="J11" s="1">
        <v>16</v>
      </c>
    </row>
    <row r="12" spans="1:10">
      <c r="A12">
        <v>1693</v>
      </c>
      <c r="B12" s="2">
        <v>45293.961805555555</v>
      </c>
      <c r="C12" t="str">
        <f>VLOOKUP(A12, user_table!$A:$B, 2, FALSE)</f>
        <v>Male</v>
      </c>
      <c r="D12" t="str">
        <f>VLOOKUP(A12, user_table!$A:$F, 5, FALSE)</f>
        <v>Desktop</v>
      </c>
      <c r="E12" t="str">
        <f>VLOOKUP(A12, user_table!$A:$F, 6, FALSE)</f>
        <v>Paid</v>
      </c>
      <c r="G12" s="9" t="s">
        <v>17</v>
      </c>
      <c r="H12" s="1">
        <v>17</v>
      </c>
      <c r="I12" s="1">
        <v>13</v>
      </c>
      <c r="J12" s="1">
        <v>30</v>
      </c>
    </row>
    <row r="13" spans="1:10">
      <c r="A13">
        <v>1759</v>
      </c>
      <c r="B13" s="2">
        <v>45351.862500000003</v>
      </c>
      <c r="C13" t="str">
        <f>VLOOKUP(A13, user_table!$A:$B, 2, FALSE)</f>
        <v>Female</v>
      </c>
      <c r="D13" t="str">
        <f>VLOOKUP(A13, user_table!$A:$F, 5, FALSE)</f>
        <v>Mobile</v>
      </c>
      <c r="E13" t="str">
        <f>VLOOKUP(A13, user_table!$A:$F, 6, FALSE)</f>
        <v>Organic</v>
      </c>
      <c r="G13" s="9" t="s">
        <v>9</v>
      </c>
      <c r="H13" s="1">
        <v>30</v>
      </c>
      <c r="I13" s="1">
        <v>39</v>
      </c>
      <c r="J13" s="1">
        <v>69</v>
      </c>
    </row>
    <row r="14" spans="1:10">
      <c r="A14">
        <v>1914</v>
      </c>
      <c r="B14" s="2">
        <v>45382.495833333334</v>
      </c>
      <c r="C14" t="str">
        <f>VLOOKUP(A14, user_table!$A:$B, 2, FALSE)</f>
        <v>Male</v>
      </c>
      <c r="D14" t="str">
        <f>VLOOKUP(A14, user_table!$A:$F, 5, FALSE)</f>
        <v>Desktop</v>
      </c>
      <c r="E14" t="str">
        <f>VLOOKUP(A14, user_table!$A:$F, 6, FALSE)</f>
        <v>Paid</v>
      </c>
      <c r="G14" s="9" t="s">
        <v>15</v>
      </c>
      <c r="H14" s="1">
        <v>23</v>
      </c>
      <c r="I14" s="1">
        <v>22</v>
      </c>
      <c r="J14" s="1">
        <v>45</v>
      </c>
    </row>
    <row r="15" spans="1:10">
      <c r="A15">
        <v>1559</v>
      </c>
      <c r="B15" s="2">
        <v>45301.725694444445</v>
      </c>
      <c r="C15" t="str">
        <f>VLOOKUP(A15, user_table!$A:$B, 2, FALSE)</f>
        <v>Female</v>
      </c>
      <c r="D15" t="str">
        <f>VLOOKUP(A15, user_table!$A:$F, 5, FALSE)</f>
        <v>Mobile</v>
      </c>
      <c r="E15" t="str">
        <f>VLOOKUP(A15, user_table!$A:$F, 6, FALSE)</f>
        <v>Paid</v>
      </c>
      <c r="G15" s="9" t="s">
        <v>14</v>
      </c>
      <c r="H15" s="1">
        <v>18</v>
      </c>
      <c r="I15" s="1">
        <v>26</v>
      </c>
      <c r="J15" s="1">
        <v>44</v>
      </c>
    </row>
    <row r="16" spans="1:10">
      <c r="A16">
        <v>1090</v>
      </c>
      <c r="B16" s="2">
        <v>45320.577777777777</v>
      </c>
      <c r="C16" t="str">
        <f>VLOOKUP(A16, user_table!$A:$B, 2, FALSE)</f>
        <v>Male</v>
      </c>
      <c r="D16" t="str">
        <f>VLOOKUP(A16, user_table!$A:$F, 5, FALSE)</f>
        <v>Mobile</v>
      </c>
      <c r="E16" t="str">
        <f>VLOOKUP(A16, user_table!$A:$F, 6, FALSE)</f>
        <v>Direct</v>
      </c>
      <c r="G16" s="8" t="s">
        <v>19</v>
      </c>
      <c r="H16" s="1">
        <v>28</v>
      </c>
      <c r="I16" s="1">
        <v>45</v>
      </c>
      <c r="J16" s="1">
        <v>73</v>
      </c>
    </row>
    <row r="17" spans="1:10">
      <c r="A17">
        <v>1605</v>
      </c>
      <c r="B17" s="2">
        <v>45320.636805555558</v>
      </c>
      <c r="C17" t="str">
        <f>VLOOKUP(A17, user_table!$A:$B, 2, FALSE)</f>
        <v>Male</v>
      </c>
      <c r="D17" t="str">
        <f>VLOOKUP(A17, user_table!$A:$F, 5, FALSE)</f>
        <v>Desktop</v>
      </c>
      <c r="E17" t="str">
        <f>VLOOKUP(A17, user_table!$A:$F, 6, FALSE)</f>
        <v>Social</v>
      </c>
      <c r="G17" s="9" t="s">
        <v>20</v>
      </c>
      <c r="H17" s="1">
        <v>3</v>
      </c>
      <c r="I17" s="1">
        <v>5</v>
      </c>
      <c r="J17" s="1">
        <v>8</v>
      </c>
    </row>
    <row r="18" spans="1:10">
      <c r="A18">
        <v>1433</v>
      </c>
      <c r="B18" s="2">
        <v>45334.38958333333</v>
      </c>
      <c r="C18" t="str">
        <f>VLOOKUP(A18, user_table!$A:$B, 2, FALSE)</f>
        <v>Female</v>
      </c>
      <c r="D18" t="str">
        <f>VLOOKUP(A18, user_table!$A:$F, 5, FALSE)</f>
        <v>Desktop</v>
      </c>
      <c r="E18" t="str">
        <f>VLOOKUP(A18, user_table!$A:$F, 6, FALSE)</f>
        <v>Paid</v>
      </c>
      <c r="G18" s="9" t="s">
        <v>17</v>
      </c>
      <c r="H18" s="1">
        <v>3</v>
      </c>
      <c r="I18" s="1">
        <v>4</v>
      </c>
      <c r="J18" s="1">
        <v>7</v>
      </c>
    </row>
    <row r="19" spans="1:10">
      <c r="A19">
        <v>1033</v>
      </c>
      <c r="B19" s="2">
        <v>45363.755555555559</v>
      </c>
      <c r="C19" t="str">
        <f>VLOOKUP(A19, user_table!$A:$B, 2, FALSE)</f>
        <v>Male</v>
      </c>
      <c r="D19" t="str">
        <f>VLOOKUP(A19, user_table!$A:$F, 5, FALSE)</f>
        <v>Tablet</v>
      </c>
      <c r="E19" t="str">
        <f>VLOOKUP(A19, user_table!$A:$F, 6, FALSE)</f>
        <v>Paid</v>
      </c>
      <c r="G19" s="9" t="s">
        <v>9</v>
      </c>
      <c r="H19" s="1">
        <v>10</v>
      </c>
      <c r="I19" s="1">
        <v>7</v>
      </c>
      <c r="J19" s="1">
        <v>17</v>
      </c>
    </row>
    <row r="20" spans="1:10">
      <c r="A20">
        <v>1031</v>
      </c>
      <c r="B20" s="2">
        <v>45365.659722222219</v>
      </c>
      <c r="C20" t="str">
        <f>VLOOKUP(A20, user_table!$A:$B, 2, FALSE)</f>
        <v>Female</v>
      </c>
      <c r="D20" t="str">
        <f>VLOOKUP(A20, user_table!$A:$F, 5, FALSE)</f>
        <v>Desktop</v>
      </c>
      <c r="E20" t="str">
        <f>VLOOKUP(A20, user_table!$A:$F, 6, FALSE)</f>
        <v>Email</v>
      </c>
      <c r="G20" s="9" t="s">
        <v>15</v>
      </c>
      <c r="H20" s="1">
        <v>7</v>
      </c>
      <c r="I20" s="1">
        <v>18</v>
      </c>
      <c r="J20" s="1">
        <v>25</v>
      </c>
    </row>
    <row r="21" spans="1:10">
      <c r="A21">
        <v>1096</v>
      </c>
      <c r="B21" s="2">
        <v>45336.908333333333</v>
      </c>
      <c r="C21" t="str">
        <f>VLOOKUP(A21, user_table!$A:$B, 2, FALSE)</f>
        <v>Male</v>
      </c>
      <c r="D21" t="str">
        <f>VLOOKUP(A21, user_table!$A:$F, 5, FALSE)</f>
        <v>Tablet</v>
      </c>
      <c r="E21" t="str">
        <f>VLOOKUP(A21, user_table!$A:$F, 6, FALSE)</f>
        <v>Paid</v>
      </c>
      <c r="G21" s="9" t="s">
        <v>14</v>
      </c>
      <c r="H21" s="1">
        <v>5</v>
      </c>
      <c r="I21" s="1">
        <v>11</v>
      </c>
      <c r="J21" s="1">
        <v>16</v>
      </c>
    </row>
    <row r="22" spans="1:10">
      <c r="A22">
        <v>1224</v>
      </c>
      <c r="B22" s="2">
        <v>45299.04583333333</v>
      </c>
      <c r="C22" t="str">
        <f>VLOOKUP(A22, user_table!$A:$B, 2, FALSE)</f>
        <v>Male</v>
      </c>
      <c r="D22" t="str">
        <f>VLOOKUP(A22, user_table!$A:$F, 5, FALSE)</f>
        <v>Tablet</v>
      </c>
      <c r="E22" t="str">
        <f>VLOOKUP(A22, user_table!$A:$F, 6, FALSE)</f>
        <v>Direct</v>
      </c>
      <c r="G22" s="8" t="s">
        <v>35</v>
      </c>
      <c r="H22" s="1">
        <v>255</v>
      </c>
      <c r="I22" s="1">
        <v>295</v>
      </c>
      <c r="J22" s="1">
        <v>550</v>
      </c>
    </row>
    <row r="23" spans="1:10">
      <c r="A23">
        <v>1239</v>
      </c>
      <c r="B23" s="2">
        <v>45373.584027777775</v>
      </c>
      <c r="C23" t="str">
        <f>VLOOKUP(A23, user_table!$A:$B, 2, FALSE)</f>
        <v>Female</v>
      </c>
      <c r="D23" t="str">
        <f>VLOOKUP(A23, user_table!$A:$F, 5, FALSE)</f>
        <v>Desktop</v>
      </c>
      <c r="E23" t="str">
        <f>VLOOKUP(A23, user_table!$A:$F, 6, FALSE)</f>
        <v>Paid</v>
      </c>
    </row>
    <row r="24" spans="1:10">
      <c r="A24">
        <v>1518</v>
      </c>
      <c r="B24" s="2">
        <v>45308.227777777778</v>
      </c>
      <c r="C24" t="str">
        <f>VLOOKUP(A24, user_table!$A:$B, 2, FALSE)</f>
        <v>Female</v>
      </c>
      <c r="D24" t="str">
        <f>VLOOKUP(A24, user_table!$A:$F, 5, FALSE)</f>
        <v>Mobile</v>
      </c>
      <c r="E24" t="str">
        <f>VLOOKUP(A24, user_table!$A:$F, 6, FALSE)</f>
        <v>Paid</v>
      </c>
    </row>
    <row r="25" spans="1:10">
      <c r="A25">
        <v>1617</v>
      </c>
      <c r="B25" s="2">
        <v>45351.018750000003</v>
      </c>
      <c r="C25" t="str">
        <f>VLOOKUP(A25, user_table!$A:$B, 2, FALSE)</f>
        <v>Male</v>
      </c>
      <c r="D25" t="str">
        <f>VLOOKUP(A25, user_table!$A:$F, 5, FALSE)</f>
        <v>Desktop</v>
      </c>
      <c r="E25" t="str">
        <f>VLOOKUP(A25, user_table!$A:$F, 6, FALSE)</f>
        <v>Organic</v>
      </c>
    </row>
    <row r="26" spans="1:10">
      <c r="A26">
        <v>1028</v>
      </c>
      <c r="B26" s="2">
        <v>45318.956944444442</v>
      </c>
      <c r="C26" t="str">
        <f>VLOOKUP(A26, user_table!$A:$B, 2, FALSE)</f>
        <v>Male</v>
      </c>
      <c r="D26" t="str">
        <f>VLOOKUP(A26, user_table!$A:$F, 5, FALSE)</f>
        <v>Desktop</v>
      </c>
      <c r="E26" t="str">
        <f>VLOOKUP(A26, user_table!$A:$F, 6, FALSE)</f>
        <v>Organic</v>
      </c>
    </row>
    <row r="27" spans="1:10">
      <c r="A27">
        <v>1575</v>
      </c>
      <c r="B27" s="2">
        <v>45309.84652777778</v>
      </c>
      <c r="C27" t="str">
        <f>VLOOKUP(A27, user_table!$A:$B, 2, FALSE)</f>
        <v>Female</v>
      </c>
      <c r="D27" t="str">
        <f>VLOOKUP(A27, user_table!$A:$F, 5, FALSE)</f>
        <v>Desktop</v>
      </c>
      <c r="E27" t="str">
        <f>VLOOKUP(A27, user_table!$A:$F, 6, FALSE)</f>
        <v>Organic</v>
      </c>
    </row>
    <row r="28" spans="1:10">
      <c r="A28">
        <v>1204</v>
      </c>
      <c r="B28" s="2">
        <v>45313.336805555555</v>
      </c>
      <c r="C28" t="str">
        <f>VLOOKUP(A28, user_table!$A:$B, 2, FALSE)</f>
        <v>Female</v>
      </c>
      <c r="D28" t="str">
        <f>VLOOKUP(A28, user_table!$A:$F, 5, FALSE)</f>
        <v>Mobile</v>
      </c>
      <c r="E28" t="str">
        <f>VLOOKUP(A28, user_table!$A:$F, 6, FALSE)</f>
        <v>Paid</v>
      </c>
    </row>
    <row r="29" spans="1:10">
      <c r="A29">
        <v>1734</v>
      </c>
      <c r="B29" s="2">
        <v>45376.469444444447</v>
      </c>
      <c r="C29" t="str">
        <f>VLOOKUP(A29, user_table!$A:$B, 2, FALSE)</f>
        <v>Female</v>
      </c>
      <c r="D29" t="str">
        <f>VLOOKUP(A29, user_table!$A:$F, 5, FALSE)</f>
        <v>Tablet</v>
      </c>
      <c r="E29" t="str">
        <f>VLOOKUP(A29, user_table!$A:$F, 6, FALSE)</f>
        <v>Email</v>
      </c>
    </row>
    <row r="30" spans="1:10">
      <c r="A30">
        <v>1666</v>
      </c>
      <c r="B30" s="2">
        <v>45303.487500000003</v>
      </c>
      <c r="C30" t="str">
        <f>VLOOKUP(A30, user_table!$A:$B, 2, FALSE)</f>
        <v>Male</v>
      </c>
      <c r="D30" t="str">
        <f>VLOOKUP(A30, user_table!$A:$F, 5, FALSE)</f>
        <v>Mobile</v>
      </c>
      <c r="E30" t="str">
        <f>VLOOKUP(A30, user_table!$A:$F, 6, FALSE)</f>
        <v>Direct</v>
      </c>
    </row>
    <row r="31" spans="1:10">
      <c r="A31">
        <v>1719</v>
      </c>
      <c r="B31" s="2">
        <v>45376.210416666669</v>
      </c>
      <c r="C31" t="str">
        <f>VLOOKUP(A31, user_table!$A:$B, 2, FALSE)</f>
        <v>Male</v>
      </c>
      <c r="D31" t="str">
        <f>VLOOKUP(A31, user_table!$A:$F, 5, FALSE)</f>
        <v>Desktop</v>
      </c>
      <c r="E31" t="str">
        <f>VLOOKUP(A31, user_table!$A:$F, 6, FALSE)</f>
        <v>Organic</v>
      </c>
    </row>
    <row r="32" spans="1:10">
      <c r="A32">
        <v>1987</v>
      </c>
      <c r="B32" s="2">
        <v>45343.84652777778</v>
      </c>
      <c r="C32" t="str">
        <f>VLOOKUP(A32, user_table!$A:$B, 2, FALSE)</f>
        <v>Female</v>
      </c>
      <c r="D32" t="str">
        <f>VLOOKUP(A32, user_table!$A:$F, 5, FALSE)</f>
        <v>Mobile</v>
      </c>
      <c r="E32" t="str">
        <f>VLOOKUP(A32, user_table!$A:$F, 6, FALSE)</f>
        <v>Email</v>
      </c>
    </row>
    <row r="33" spans="1:5">
      <c r="A33">
        <v>1430</v>
      </c>
      <c r="B33" s="2">
        <v>45382.310416666667</v>
      </c>
      <c r="C33" t="str">
        <f>VLOOKUP(A33, user_table!$A:$B, 2, FALSE)</f>
        <v>Male</v>
      </c>
      <c r="D33" t="str">
        <f>VLOOKUP(A33, user_table!$A:$F, 5, FALSE)</f>
        <v>Tablet</v>
      </c>
      <c r="E33" t="str">
        <f>VLOOKUP(A33, user_table!$A:$F, 6, FALSE)</f>
        <v>Paid</v>
      </c>
    </row>
    <row r="34" spans="1:5">
      <c r="A34">
        <v>1226</v>
      </c>
      <c r="B34" s="2">
        <v>45376.114583333336</v>
      </c>
      <c r="C34" t="str">
        <f>VLOOKUP(A34, user_table!$A:$B, 2, FALSE)</f>
        <v>Male</v>
      </c>
      <c r="D34" t="str">
        <f>VLOOKUP(A34, user_table!$A:$F, 5, FALSE)</f>
        <v>Desktop</v>
      </c>
      <c r="E34" t="str">
        <f>VLOOKUP(A34, user_table!$A:$F, 6, FALSE)</f>
        <v>Social</v>
      </c>
    </row>
    <row r="35" spans="1:5">
      <c r="A35">
        <v>1460</v>
      </c>
      <c r="B35" s="2">
        <v>45305.009027777778</v>
      </c>
      <c r="C35" t="str">
        <f>VLOOKUP(A35, user_table!$A:$B, 2, FALSE)</f>
        <v>Male</v>
      </c>
      <c r="D35" t="str">
        <f>VLOOKUP(A35, user_table!$A:$F, 5, FALSE)</f>
        <v>Desktop</v>
      </c>
      <c r="E35" t="str">
        <f>VLOOKUP(A35, user_table!$A:$F, 6, FALSE)</f>
        <v>Paid</v>
      </c>
    </row>
    <row r="36" spans="1:5">
      <c r="A36">
        <v>1604</v>
      </c>
      <c r="B36" s="2">
        <v>45354.088888888888</v>
      </c>
      <c r="C36" t="str">
        <f>VLOOKUP(A36, user_table!$A:$B, 2, FALSE)</f>
        <v>Male</v>
      </c>
      <c r="D36" t="str">
        <f>VLOOKUP(A36, user_table!$A:$F, 5, FALSE)</f>
        <v>Desktop</v>
      </c>
      <c r="E36" t="str">
        <f>VLOOKUP(A36, user_table!$A:$F, 6, FALSE)</f>
        <v>Paid</v>
      </c>
    </row>
    <row r="37" spans="1:5">
      <c r="A37">
        <v>1285</v>
      </c>
      <c r="B37" s="2">
        <v>45368.314583333333</v>
      </c>
      <c r="C37" t="str">
        <f>VLOOKUP(A37, user_table!$A:$B, 2, FALSE)</f>
        <v>Female</v>
      </c>
      <c r="D37" t="str">
        <f>VLOOKUP(A37, user_table!$A:$F, 5, FALSE)</f>
        <v>Mobile</v>
      </c>
      <c r="E37" t="str">
        <f>VLOOKUP(A37, user_table!$A:$F, 6, FALSE)</f>
        <v>Social</v>
      </c>
    </row>
    <row r="38" spans="1:5">
      <c r="A38">
        <v>1829</v>
      </c>
      <c r="B38" s="2">
        <v>45380.583333333336</v>
      </c>
      <c r="C38" t="str">
        <f>VLOOKUP(A38, user_table!$A:$B, 2, FALSE)</f>
        <v>Female</v>
      </c>
      <c r="D38" t="str">
        <f>VLOOKUP(A38, user_table!$A:$F, 5, FALSE)</f>
        <v>Desktop</v>
      </c>
      <c r="E38" t="str">
        <f>VLOOKUP(A38, user_table!$A:$F, 6, FALSE)</f>
        <v>Organic</v>
      </c>
    </row>
    <row r="39" spans="1:5">
      <c r="A39">
        <v>1891</v>
      </c>
      <c r="B39" s="2">
        <v>45294.931250000001</v>
      </c>
      <c r="C39" t="str">
        <f>VLOOKUP(A39, user_table!$A:$B, 2, FALSE)</f>
        <v>Female</v>
      </c>
      <c r="D39" t="str">
        <f>VLOOKUP(A39, user_table!$A:$F, 5, FALSE)</f>
        <v>Mobile</v>
      </c>
      <c r="E39" t="str">
        <f>VLOOKUP(A39, user_table!$A:$F, 6, FALSE)</f>
        <v>Organic</v>
      </c>
    </row>
    <row r="40" spans="1:5">
      <c r="A40">
        <v>1007</v>
      </c>
      <c r="B40" s="2">
        <v>45308.572222222225</v>
      </c>
      <c r="C40" t="str">
        <f>VLOOKUP(A40, user_table!$A:$B, 2, FALSE)</f>
        <v>Male</v>
      </c>
      <c r="D40" t="str">
        <f>VLOOKUP(A40, user_table!$A:$F, 5, FALSE)</f>
        <v>Mobile</v>
      </c>
      <c r="E40" t="str">
        <f>VLOOKUP(A40, user_table!$A:$F, 6, FALSE)</f>
        <v>Organic</v>
      </c>
    </row>
    <row r="41" spans="1:5">
      <c r="A41">
        <v>1778</v>
      </c>
      <c r="B41" s="2">
        <v>45309.62777777778</v>
      </c>
      <c r="C41" t="str">
        <f>VLOOKUP(A41, user_table!$A:$B, 2, FALSE)</f>
        <v>Female</v>
      </c>
      <c r="D41" t="str">
        <f>VLOOKUP(A41, user_table!$A:$F, 5, FALSE)</f>
        <v>Tablet</v>
      </c>
      <c r="E41" t="str">
        <f>VLOOKUP(A41, user_table!$A:$F, 6, FALSE)</f>
        <v>Organic</v>
      </c>
    </row>
    <row r="42" spans="1:5">
      <c r="A42">
        <v>1826</v>
      </c>
      <c r="B42" s="2">
        <v>45322.503472222219</v>
      </c>
      <c r="C42" t="str">
        <f>VLOOKUP(A42, user_table!$A:$B, 2, FALSE)</f>
        <v>Female</v>
      </c>
      <c r="D42" t="str">
        <f>VLOOKUP(A42, user_table!$A:$F, 5, FALSE)</f>
        <v>Desktop</v>
      </c>
      <c r="E42" t="str">
        <f>VLOOKUP(A42, user_table!$A:$F, 6, FALSE)</f>
        <v>Paid</v>
      </c>
    </row>
    <row r="43" spans="1:5">
      <c r="A43">
        <v>1164</v>
      </c>
      <c r="B43" s="2">
        <v>45306.138888888891</v>
      </c>
      <c r="C43" t="str">
        <f>VLOOKUP(A43, user_table!$A:$B, 2, FALSE)</f>
        <v>Female</v>
      </c>
      <c r="D43" t="str">
        <f>VLOOKUP(A43, user_table!$A:$F, 5, FALSE)</f>
        <v>Mobile</v>
      </c>
      <c r="E43" t="str">
        <f>VLOOKUP(A43, user_table!$A:$F, 6, FALSE)</f>
        <v>Organic</v>
      </c>
    </row>
    <row r="44" spans="1:5">
      <c r="A44">
        <v>1715</v>
      </c>
      <c r="B44" s="2">
        <v>45340.380555555559</v>
      </c>
      <c r="C44" t="str">
        <f>VLOOKUP(A44, user_table!$A:$B, 2, FALSE)</f>
        <v>Male</v>
      </c>
      <c r="D44" t="str">
        <f>VLOOKUP(A44, user_table!$A:$F, 5, FALSE)</f>
        <v>Mobile</v>
      </c>
      <c r="E44" t="str">
        <f>VLOOKUP(A44, user_table!$A:$F, 6, FALSE)</f>
        <v>Paid</v>
      </c>
    </row>
    <row r="45" spans="1:5">
      <c r="A45">
        <v>1984</v>
      </c>
      <c r="B45" s="2">
        <v>45341.195138888892</v>
      </c>
      <c r="C45" t="str">
        <f>VLOOKUP(A45, user_table!$A:$B, 2, FALSE)</f>
        <v>Male</v>
      </c>
      <c r="D45" t="str">
        <f>VLOOKUP(A45, user_table!$A:$F, 5, FALSE)</f>
        <v>Desktop</v>
      </c>
      <c r="E45" t="str">
        <f>VLOOKUP(A45, user_table!$A:$F, 6, FALSE)</f>
        <v>Social</v>
      </c>
    </row>
    <row r="46" spans="1:5">
      <c r="A46">
        <v>1349</v>
      </c>
      <c r="B46" s="2">
        <v>45379.169444444444</v>
      </c>
      <c r="C46" t="str">
        <f>VLOOKUP(A46, user_table!$A:$B, 2, FALSE)</f>
        <v>Male</v>
      </c>
      <c r="D46" t="str">
        <f>VLOOKUP(A46, user_table!$A:$F, 5, FALSE)</f>
        <v>Mobile</v>
      </c>
      <c r="E46" t="str">
        <f>VLOOKUP(A46, user_table!$A:$F, 6, FALSE)</f>
        <v>Organic</v>
      </c>
    </row>
    <row r="47" spans="1:5">
      <c r="A47">
        <v>1965</v>
      </c>
      <c r="B47" s="2">
        <v>45360.75</v>
      </c>
      <c r="C47" t="str">
        <f>VLOOKUP(A47, user_table!$A:$B, 2, FALSE)</f>
        <v>Male</v>
      </c>
      <c r="D47" t="str">
        <f>VLOOKUP(A47, user_table!$A:$F, 5, FALSE)</f>
        <v>Desktop</v>
      </c>
      <c r="E47" t="str">
        <f>VLOOKUP(A47, user_table!$A:$F, 6, FALSE)</f>
        <v>Paid</v>
      </c>
    </row>
    <row r="48" spans="1:5">
      <c r="A48">
        <v>1160</v>
      </c>
      <c r="B48" s="2">
        <v>45371.840277777781</v>
      </c>
      <c r="C48" t="str">
        <f>VLOOKUP(A48, user_table!$A:$B, 2, FALSE)</f>
        <v>Female</v>
      </c>
      <c r="D48" t="str">
        <f>VLOOKUP(A48, user_table!$A:$F, 5, FALSE)</f>
        <v>Desktop</v>
      </c>
      <c r="E48" t="str">
        <f>VLOOKUP(A48, user_table!$A:$F, 6, FALSE)</f>
        <v>Paid</v>
      </c>
    </row>
    <row r="49" spans="1:5">
      <c r="A49">
        <v>1221</v>
      </c>
      <c r="B49" s="2">
        <v>45349.490277777775</v>
      </c>
      <c r="C49" t="str">
        <f>VLOOKUP(A49, user_table!$A:$B, 2, FALSE)</f>
        <v>Female</v>
      </c>
      <c r="D49" t="str">
        <f>VLOOKUP(A49, user_table!$A:$F, 5, FALSE)</f>
        <v>Desktop</v>
      </c>
      <c r="E49" t="str">
        <f>VLOOKUP(A49, user_table!$A:$F, 6, FALSE)</f>
        <v>Direct</v>
      </c>
    </row>
    <row r="50" spans="1:5">
      <c r="A50">
        <v>1782</v>
      </c>
      <c r="B50" s="2">
        <v>45320.865972222222</v>
      </c>
      <c r="C50" t="str">
        <f>VLOOKUP(A50, user_table!$A:$B, 2, FALSE)</f>
        <v>Female</v>
      </c>
      <c r="D50" t="str">
        <f>VLOOKUP(A50, user_table!$A:$F, 5, FALSE)</f>
        <v>Tablet</v>
      </c>
      <c r="E50" t="str">
        <f>VLOOKUP(A50, user_table!$A:$F, 6, FALSE)</f>
        <v>Paid</v>
      </c>
    </row>
    <row r="51" spans="1:5">
      <c r="A51">
        <v>1345</v>
      </c>
      <c r="B51" s="2">
        <v>45312.568749999999</v>
      </c>
      <c r="C51" t="str">
        <f>VLOOKUP(A51, user_table!$A:$B, 2, FALSE)</f>
        <v>Male</v>
      </c>
      <c r="D51" t="str">
        <f>VLOOKUP(A51, user_table!$A:$F, 5, FALSE)</f>
        <v>Tablet</v>
      </c>
      <c r="E51" t="str">
        <f>VLOOKUP(A51, user_table!$A:$F, 6, FALSE)</f>
        <v>Paid</v>
      </c>
    </row>
    <row r="52" spans="1:5">
      <c r="A52">
        <v>1991</v>
      </c>
      <c r="B52" s="2">
        <v>45380.621527777781</v>
      </c>
      <c r="C52" t="str">
        <f>VLOOKUP(A52, user_table!$A:$B, 2, FALSE)</f>
        <v>Female</v>
      </c>
      <c r="D52" t="str">
        <f>VLOOKUP(A52, user_table!$A:$F, 5, FALSE)</f>
        <v>Mobile</v>
      </c>
      <c r="E52" t="str">
        <f>VLOOKUP(A52, user_table!$A:$F, 6, FALSE)</f>
        <v>Paid</v>
      </c>
    </row>
    <row r="53" spans="1:5">
      <c r="A53">
        <v>1095</v>
      </c>
      <c r="B53" s="2">
        <v>45320.122916666667</v>
      </c>
      <c r="C53" t="str">
        <f>VLOOKUP(A53, user_table!$A:$B, 2, FALSE)</f>
        <v>Female</v>
      </c>
      <c r="D53" t="str">
        <f>VLOOKUP(A53, user_table!$A:$F, 5, FALSE)</f>
        <v>Desktop</v>
      </c>
      <c r="E53" t="str">
        <f>VLOOKUP(A53, user_table!$A:$F, 6, FALSE)</f>
        <v>Organic</v>
      </c>
    </row>
    <row r="54" spans="1:5">
      <c r="A54">
        <v>1390</v>
      </c>
      <c r="B54" s="2">
        <v>45305.2</v>
      </c>
      <c r="C54" t="str">
        <f>VLOOKUP(A54, user_table!$A:$B, 2, FALSE)</f>
        <v>Female</v>
      </c>
      <c r="D54" t="str">
        <f>VLOOKUP(A54, user_table!$A:$F, 5, FALSE)</f>
        <v>Desktop</v>
      </c>
      <c r="E54" t="str">
        <f>VLOOKUP(A54, user_table!$A:$F, 6, FALSE)</f>
        <v>Social</v>
      </c>
    </row>
    <row r="55" spans="1:5">
      <c r="A55">
        <v>1100</v>
      </c>
      <c r="B55" s="2">
        <v>45308.781944444447</v>
      </c>
      <c r="C55" t="str">
        <f>VLOOKUP(A55, user_table!$A:$B, 2, FALSE)</f>
        <v>Male</v>
      </c>
      <c r="D55" t="str">
        <f>VLOOKUP(A55, user_table!$A:$F, 5, FALSE)</f>
        <v>Desktop</v>
      </c>
      <c r="E55" t="str">
        <f>VLOOKUP(A55, user_table!$A:$F, 6, FALSE)</f>
        <v>Social</v>
      </c>
    </row>
    <row r="56" spans="1:5">
      <c r="A56">
        <v>1368</v>
      </c>
      <c r="B56" s="2">
        <v>45342.477083333331</v>
      </c>
      <c r="C56" t="str">
        <f>VLOOKUP(A56, user_table!$A:$B, 2, FALSE)</f>
        <v>Female</v>
      </c>
      <c r="D56" t="str">
        <f>VLOOKUP(A56, user_table!$A:$F, 5, FALSE)</f>
        <v>Mobile</v>
      </c>
      <c r="E56" t="str">
        <f>VLOOKUP(A56, user_table!$A:$F, 6, FALSE)</f>
        <v>Paid</v>
      </c>
    </row>
    <row r="57" spans="1:5">
      <c r="A57">
        <v>1868</v>
      </c>
      <c r="B57" s="2">
        <v>45333.177083333336</v>
      </c>
      <c r="C57" t="str">
        <f>VLOOKUP(A57, user_table!$A:$B, 2, FALSE)</f>
        <v>Male</v>
      </c>
      <c r="D57" t="str">
        <f>VLOOKUP(A57, user_table!$A:$F, 5, FALSE)</f>
        <v>Desktop</v>
      </c>
      <c r="E57" t="str">
        <f>VLOOKUP(A57, user_table!$A:$F, 6, FALSE)</f>
        <v>Organic</v>
      </c>
    </row>
    <row r="58" spans="1:5">
      <c r="A58">
        <v>1353</v>
      </c>
      <c r="B58" s="2">
        <v>45328.836805555555</v>
      </c>
      <c r="C58" t="str">
        <f>VLOOKUP(A58, user_table!$A:$B, 2, FALSE)</f>
        <v>Female</v>
      </c>
      <c r="D58" t="str">
        <f>VLOOKUP(A58, user_table!$A:$F, 5, FALSE)</f>
        <v>Mobile</v>
      </c>
      <c r="E58" t="str">
        <f>VLOOKUP(A58, user_table!$A:$F, 6, FALSE)</f>
        <v>Social</v>
      </c>
    </row>
    <row r="59" spans="1:5">
      <c r="A59">
        <v>1619</v>
      </c>
      <c r="B59" s="2">
        <v>45324.734722222223</v>
      </c>
      <c r="C59" t="str">
        <f>VLOOKUP(A59, user_table!$A:$B, 2, FALSE)</f>
        <v>Female</v>
      </c>
      <c r="D59" t="str">
        <f>VLOOKUP(A59, user_table!$A:$F, 5, FALSE)</f>
        <v>Desktop</v>
      </c>
      <c r="E59" t="str">
        <f>VLOOKUP(A59, user_table!$A:$F, 6, FALSE)</f>
        <v>Organic</v>
      </c>
    </row>
    <row r="60" spans="1:5">
      <c r="A60">
        <v>1271</v>
      </c>
      <c r="B60" s="2">
        <v>45369.984722222223</v>
      </c>
      <c r="C60" t="str">
        <f>VLOOKUP(A60, user_table!$A:$B, 2, FALSE)</f>
        <v>Female</v>
      </c>
      <c r="D60" t="str">
        <f>VLOOKUP(A60, user_table!$A:$F, 5, FALSE)</f>
        <v>Desktop</v>
      </c>
      <c r="E60" t="str">
        <f>VLOOKUP(A60, user_table!$A:$F, 6, FALSE)</f>
        <v>Social</v>
      </c>
    </row>
    <row r="61" spans="1:5">
      <c r="A61">
        <v>1827</v>
      </c>
      <c r="B61" s="2">
        <v>45329.917361111111</v>
      </c>
      <c r="C61" t="str">
        <f>VLOOKUP(A61, user_table!$A:$B, 2, FALSE)</f>
        <v>Male</v>
      </c>
      <c r="D61" t="str">
        <f>VLOOKUP(A61, user_table!$A:$F, 5, FALSE)</f>
        <v>Desktop</v>
      </c>
      <c r="E61" t="str">
        <f>VLOOKUP(A61, user_table!$A:$F, 6, FALSE)</f>
        <v>Email</v>
      </c>
    </row>
    <row r="62" spans="1:5">
      <c r="A62">
        <v>1045</v>
      </c>
      <c r="B62" s="2">
        <v>45377.384027777778</v>
      </c>
      <c r="C62" t="str">
        <f>VLOOKUP(A62, user_table!$A:$B, 2, FALSE)</f>
        <v>Male</v>
      </c>
      <c r="D62" t="str">
        <f>VLOOKUP(A62, user_table!$A:$F, 5, FALSE)</f>
        <v>Desktop</v>
      </c>
      <c r="E62" t="str">
        <f>VLOOKUP(A62, user_table!$A:$F, 6, FALSE)</f>
        <v>Social</v>
      </c>
    </row>
    <row r="63" spans="1:5">
      <c r="A63">
        <v>1748</v>
      </c>
      <c r="B63" s="2">
        <v>45359.813888888886</v>
      </c>
      <c r="C63" t="str">
        <f>VLOOKUP(A63, user_table!$A:$B, 2, FALSE)</f>
        <v>Female</v>
      </c>
      <c r="D63" t="str">
        <f>VLOOKUP(A63, user_table!$A:$F, 5, FALSE)</f>
        <v>Desktop</v>
      </c>
      <c r="E63" t="str">
        <f>VLOOKUP(A63, user_table!$A:$F, 6, FALSE)</f>
        <v>Social</v>
      </c>
    </row>
    <row r="64" spans="1:5">
      <c r="A64">
        <v>1471</v>
      </c>
      <c r="B64" s="2">
        <v>45317.975694444445</v>
      </c>
      <c r="C64" t="str">
        <f>VLOOKUP(A64, user_table!$A:$B, 2, FALSE)</f>
        <v>Male</v>
      </c>
      <c r="D64" t="str">
        <f>VLOOKUP(A64, user_table!$A:$F, 5, FALSE)</f>
        <v>Tablet</v>
      </c>
      <c r="E64" t="str">
        <f>VLOOKUP(A64, user_table!$A:$F, 6, FALSE)</f>
        <v>Social</v>
      </c>
    </row>
    <row r="65" spans="1:5">
      <c r="A65">
        <v>1550</v>
      </c>
      <c r="B65" s="2">
        <v>45330.835416666669</v>
      </c>
      <c r="C65" t="str">
        <f>VLOOKUP(A65, user_table!$A:$B, 2, FALSE)</f>
        <v>Female</v>
      </c>
      <c r="D65" t="str">
        <f>VLOOKUP(A65, user_table!$A:$F, 5, FALSE)</f>
        <v>Mobile</v>
      </c>
      <c r="E65" t="str">
        <f>VLOOKUP(A65, user_table!$A:$F, 6, FALSE)</f>
        <v>Social</v>
      </c>
    </row>
    <row r="66" spans="1:5">
      <c r="A66">
        <v>1128</v>
      </c>
      <c r="B66" s="2">
        <v>45323.64166666667</v>
      </c>
      <c r="C66" t="str">
        <f>VLOOKUP(A66, user_table!$A:$B, 2, FALSE)</f>
        <v>Female</v>
      </c>
      <c r="D66" t="str">
        <f>VLOOKUP(A66, user_table!$A:$F, 5, FALSE)</f>
        <v>Tablet</v>
      </c>
      <c r="E66" t="str">
        <f>VLOOKUP(A66, user_table!$A:$F, 6, FALSE)</f>
        <v>Direct</v>
      </c>
    </row>
    <row r="67" spans="1:5">
      <c r="A67">
        <v>1388</v>
      </c>
      <c r="B67" s="2">
        <v>45307.313194444447</v>
      </c>
      <c r="C67" t="str">
        <f>VLOOKUP(A67, user_table!$A:$B, 2, FALSE)</f>
        <v>Male</v>
      </c>
      <c r="D67" t="str">
        <f>VLOOKUP(A67, user_table!$A:$F, 5, FALSE)</f>
        <v>Desktop</v>
      </c>
      <c r="E67" t="str">
        <f>VLOOKUP(A67, user_table!$A:$F, 6, FALSE)</f>
        <v>Organic</v>
      </c>
    </row>
    <row r="68" spans="1:5">
      <c r="A68">
        <v>1081</v>
      </c>
      <c r="B68" s="2">
        <v>45374.794444444444</v>
      </c>
      <c r="C68" t="str">
        <f>VLOOKUP(A68, user_table!$A:$B, 2, FALSE)</f>
        <v>Female</v>
      </c>
      <c r="D68" t="str">
        <f>VLOOKUP(A68, user_table!$A:$F, 5, FALSE)</f>
        <v>Desktop</v>
      </c>
      <c r="E68" t="str">
        <f>VLOOKUP(A68, user_table!$A:$F, 6, FALSE)</f>
        <v>Email</v>
      </c>
    </row>
    <row r="69" spans="1:5">
      <c r="A69">
        <v>1566</v>
      </c>
      <c r="B69" s="2">
        <v>45360.015972222223</v>
      </c>
      <c r="C69" t="str">
        <f>VLOOKUP(A69, user_table!$A:$B, 2, FALSE)</f>
        <v>Female</v>
      </c>
      <c r="D69" t="str">
        <f>VLOOKUP(A69, user_table!$A:$F, 5, FALSE)</f>
        <v>Desktop</v>
      </c>
      <c r="E69" t="str">
        <f>VLOOKUP(A69, user_table!$A:$F, 6, FALSE)</f>
        <v>Social</v>
      </c>
    </row>
    <row r="70" spans="1:5">
      <c r="A70">
        <v>1301</v>
      </c>
      <c r="B70" s="2">
        <v>45333.183333333334</v>
      </c>
      <c r="C70" t="str">
        <f>VLOOKUP(A70, user_table!$A:$B, 2, FALSE)</f>
        <v>Male</v>
      </c>
      <c r="D70" t="str">
        <f>VLOOKUP(A70, user_table!$A:$F, 5, FALSE)</f>
        <v>Desktop</v>
      </c>
      <c r="E70" t="str">
        <f>VLOOKUP(A70, user_table!$A:$F, 6, FALSE)</f>
        <v>Organic</v>
      </c>
    </row>
    <row r="71" spans="1:5">
      <c r="A71">
        <v>1850</v>
      </c>
      <c r="B71" s="2">
        <v>45365.557638888888</v>
      </c>
      <c r="C71" t="str">
        <f>VLOOKUP(A71, user_table!$A:$B, 2, FALSE)</f>
        <v>Female</v>
      </c>
      <c r="D71" t="str">
        <f>VLOOKUP(A71, user_table!$A:$F, 5, FALSE)</f>
        <v>Desktop</v>
      </c>
      <c r="E71" t="str">
        <f>VLOOKUP(A71, user_table!$A:$F, 6, FALSE)</f>
        <v>Paid</v>
      </c>
    </row>
    <row r="72" spans="1:5">
      <c r="A72">
        <v>1644</v>
      </c>
      <c r="B72" s="2">
        <v>45362.882638888892</v>
      </c>
      <c r="C72" t="str">
        <f>VLOOKUP(A72, user_table!$A:$B, 2, FALSE)</f>
        <v>Male</v>
      </c>
      <c r="D72" t="str">
        <f>VLOOKUP(A72, user_table!$A:$F, 5, FALSE)</f>
        <v>Desktop</v>
      </c>
      <c r="E72" t="str">
        <f>VLOOKUP(A72, user_table!$A:$F, 6, FALSE)</f>
        <v>Organic</v>
      </c>
    </row>
    <row r="73" spans="1:5">
      <c r="A73">
        <v>1634</v>
      </c>
      <c r="B73" s="2">
        <v>45353.084027777775</v>
      </c>
      <c r="C73" t="str">
        <f>VLOOKUP(A73, user_table!$A:$B, 2, FALSE)</f>
        <v>Female</v>
      </c>
      <c r="D73" t="str">
        <f>VLOOKUP(A73, user_table!$A:$F, 5, FALSE)</f>
        <v>Desktop</v>
      </c>
      <c r="E73" t="str">
        <f>VLOOKUP(A73, user_table!$A:$F, 6, FALSE)</f>
        <v>Organic</v>
      </c>
    </row>
    <row r="74" spans="1:5">
      <c r="A74">
        <v>1907</v>
      </c>
      <c r="B74" s="2">
        <v>45368.083333333336</v>
      </c>
      <c r="C74" t="str">
        <f>VLOOKUP(A74, user_table!$A:$B, 2, FALSE)</f>
        <v>Female</v>
      </c>
      <c r="D74" t="str">
        <f>VLOOKUP(A74, user_table!$A:$F, 5, FALSE)</f>
        <v>Mobile</v>
      </c>
      <c r="E74" t="str">
        <f>VLOOKUP(A74, user_table!$A:$F, 6, FALSE)</f>
        <v>Organic</v>
      </c>
    </row>
    <row r="75" spans="1:5">
      <c r="A75">
        <v>1883</v>
      </c>
      <c r="B75" s="2">
        <v>45326.251388888886</v>
      </c>
      <c r="C75" t="str">
        <f>VLOOKUP(A75, user_table!$A:$B, 2, FALSE)</f>
        <v>Male</v>
      </c>
      <c r="D75" t="str">
        <f>VLOOKUP(A75, user_table!$A:$F, 5, FALSE)</f>
        <v>Tablet</v>
      </c>
      <c r="E75" t="str">
        <f>VLOOKUP(A75, user_table!$A:$F, 6, FALSE)</f>
        <v>Paid</v>
      </c>
    </row>
    <row r="76" spans="1:5">
      <c r="A76">
        <v>1371</v>
      </c>
      <c r="B76" s="2">
        <v>45300.522222222222</v>
      </c>
      <c r="C76" t="str">
        <f>VLOOKUP(A76, user_table!$A:$B, 2, FALSE)</f>
        <v>Male</v>
      </c>
      <c r="D76" t="str">
        <f>VLOOKUP(A76, user_table!$A:$F, 5, FALSE)</f>
        <v>Mobile</v>
      </c>
      <c r="E76" t="str">
        <f>VLOOKUP(A76, user_table!$A:$F, 6, FALSE)</f>
        <v>Organic</v>
      </c>
    </row>
    <row r="77" spans="1:5">
      <c r="A77">
        <v>1592</v>
      </c>
      <c r="B77" s="2">
        <v>45329.864583333336</v>
      </c>
      <c r="C77" t="str">
        <f>VLOOKUP(A77, user_table!$A:$B, 2, FALSE)</f>
        <v>Female</v>
      </c>
      <c r="D77" t="str">
        <f>VLOOKUP(A77, user_table!$A:$F, 5, FALSE)</f>
        <v>Desktop</v>
      </c>
      <c r="E77" t="str">
        <f>VLOOKUP(A77, user_table!$A:$F, 6, FALSE)</f>
        <v>Paid</v>
      </c>
    </row>
    <row r="78" spans="1:5">
      <c r="A78">
        <v>1197</v>
      </c>
      <c r="B78" s="2">
        <v>45357.560416666667</v>
      </c>
      <c r="C78" t="str">
        <f>VLOOKUP(A78, user_table!$A:$B, 2, FALSE)</f>
        <v>Female</v>
      </c>
      <c r="D78" t="str">
        <f>VLOOKUP(A78, user_table!$A:$F, 5, FALSE)</f>
        <v>Desktop</v>
      </c>
      <c r="E78" t="str">
        <f>VLOOKUP(A78, user_table!$A:$F, 6, FALSE)</f>
        <v>Paid</v>
      </c>
    </row>
    <row r="79" spans="1:5">
      <c r="A79">
        <v>1722</v>
      </c>
      <c r="B79" s="2">
        <v>45382.503472222219</v>
      </c>
      <c r="C79" t="str">
        <f>VLOOKUP(A79, user_table!$A:$B, 2, FALSE)</f>
        <v>Male</v>
      </c>
      <c r="D79" t="str">
        <f>VLOOKUP(A79, user_table!$A:$F, 5, FALSE)</f>
        <v>Desktop</v>
      </c>
      <c r="E79" t="str">
        <f>VLOOKUP(A79, user_table!$A:$F, 6, FALSE)</f>
        <v>Social</v>
      </c>
    </row>
    <row r="80" spans="1:5">
      <c r="A80">
        <v>1072</v>
      </c>
      <c r="B80" s="2">
        <v>45374.731944444444</v>
      </c>
      <c r="C80" t="str">
        <f>VLOOKUP(A80, user_table!$A:$B, 2, FALSE)</f>
        <v>Male</v>
      </c>
      <c r="D80" t="str">
        <f>VLOOKUP(A80, user_table!$A:$F, 5, FALSE)</f>
        <v>Tablet</v>
      </c>
      <c r="E80" t="str">
        <f>VLOOKUP(A80, user_table!$A:$F, 6, FALSE)</f>
        <v>Paid</v>
      </c>
    </row>
    <row r="81" spans="1:5">
      <c r="A81">
        <v>1047</v>
      </c>
      <c r="B81" s="2">
        <v>45371.178472222222</v>
      </c>
      <c r="C81" t="str">
        <f>VLOOKUP(A81, user_table!$A:$B, 2, FALSE)</f>
        <v>Male</v>
      </c>
      <c r="D81" t="str">
        <f>VLOOKUP(A81, user_table!$A:$F, 5, FALSE)</f>
        <v>Desktop</v>
      </c>
      <c r="E81" t="str">
        <f>VLOOKUP(A81, user_table!$A:$F, 6, FALSE)</f>
        <v>Organic</v>
      </c>
    </row>
    <row r="82" spans="1:5">
      <c r="A82">
        <v>1678</v>
      </c>
      <c r="B82" s="2">
        <v>45303.378472222219</v>
      </c>
      <c r="C82" t="str">
        <f>VLOOKUP(A82, user_table!$A:$B, 2, FALSE)</f>
        <v>Male</v>
      </c>
      <c r="D82" t="str">
        <f>VLOOKUP(A82, user_table!$A:$F, 5, FALSE)</f>
        <v>Mobile</v>
      </c>
      <c r="E82" t="str">
        <f>VLOOKUP(A82, user_table!$A:$F, 6, FALSE)</f>
        <v>Organic</v>
      </c>
    </row>
    <row r="83" spans="1:5">
      <c r="A83">
        <v>1234</v>
      </c>
      <c r="B83" s="2">
        <v>45358.285416666666</v>
      </c>
      <c r="C83" t="str">
        <f>VLOOKUP(A83, user_table!$A:$B, 2, FALSE)</f>
        <v>Male</v>
      </c>
      <c r="D83" t="str">
        <f>VLOOKUP(A83, user_table!$A:$F, 5, FALSE)</f>
        <v>Tablet</v>
      </c>
      <c r="E83" t="str">
        <f>VLOOKUP(A83, user_table!$A:$F, 6, FALSE)</f>
        <v>Email</v>
      </c>
    </row>
    <row r="84" spans="1:5">
      <c r="A84">
        <v>1792</v>
      </c>
      <c r="B84" s="2">
        <v>45312.722222222219</v>
      </c>
      <c r="C84" t="str">
        <f>VLOOKUP(A84, user_table!$A:$B, 2, FALSE)</f>
        <v>Female</v>
      </c>
      <c r="D84" t="str">
        <f>VLOOKUP(A84, user_table!$A:$F, 5, FALSE)</f>
        <v>Desktop</v>
      </c>
      <c r="E84" t="str">
        <f>VLOOKUP(A84, user_table!$A:$F, 6, FALSE)</f>
        <v>Email</v>
      </c>
    </row>
    <row r="85" spans="1:5">
      <c r="A85">
        <v>1297</v>
      </c>
      <c r="B85" s="2">
        <v>45343.777777777781</v>
      </c>
      <c r="C85" t="str">
        <f>VLOOKUP(A85, user_table!$A:$B, 2, FALSE)</f>
        <v>Female</v>
      </c>
      <c r="D85" t="str">
        <f>VLOOKUP(A85, user_table!$A:$F, 5, FALSE)</f>
        <v>Desktop</v>
      </c>
      <c r="E85" t="str">
        <f>VLOOKUP(A85, user_table!$A:$F, 6, FALSE)</f>
        <v>Organic</v>
      </c>
    </row>
    <row r="86" spans="1:5">
      <c r="A86">
        <v>1082</v>
      </c>
      <c r="B86" s="2">
        <v>45376.90347222222</v>
      </c>
      <c r="C86" t="str">
        <f>VLOOKUP(A86, user_table!$A:$B, 2, FALSE)</f>
        <v>Female</v>
      </c>
      <c r="D86" t="str">
        <f>VLOOKUP(A86, user_table!$A:$F, 5, FALSE)</f>
        <v>Desktop</v>
      </c>
      <c r="E86" t="str">
        <f>VLOOKUP(A86, user_table!$A:$F, 6, FALSE)</f>
        <v>Organic</v>
      </c>
    </row>
    <row r="87" spans="1:5">
      <c r="A87">
        <v>1876</v>
      </c>
      <c r="B87" s="2">
        <v>45301.405555555553</v>
      </c>
      <c r="C87" t="str">
        <f>VLOOKUP(A87, user_table!$A:$B, 2, FALSE)</f>
        <v>Male</v>
      </c>
      <c r="D87" t="str">
        <f>VLOOKUP(A87, user_table!$A:$F, 5, FALSE)</f>
        <v>Desktop</v>
      </c>
      <c r="E87" t="str">
        <f>VLOOKUP(A87, user_table!$A:$F, 6, FALSE)</f>
        <v>Social</v>
      </c>
    </row>
    <row r="88" spans="1:5">
      <c r="A88">
        <v>1979</v>
      </c>
      <c r="B88" s="2">
        <v>45348.995833333334</v>
      </c>
      <c r="C88" t="str">
        <f>VLOOKUP(A88, user_table!$A:$B, 2, FALSE)</f>
        <v>Male</v>
      </c>
      <c r="D88" t="str">
        <f>VLOOKUP(A88, user_table!$A:$F, 5, FALSE)</f>
        <v>Desktop</v>
      </c>
      <c r="E88" t="str">
        <f>VLOOKUP(A88, user_table!$A:$F, 6, FALSE)</f>
        <v>Direct</v>
      </c>
    </row>
    <row r="89" spans="1:5">
      <c r="A89">
        <v>1888</v>
      </c>
      <c r="B89" s="2">
        <v>45323.052083333336</v>
      </c>
      <c r="C89" t="str">
        <f>VLOOKUP(A89, user_table!$A:$B, 2, FALSE)</f>
        <v>Male</v>
      </c>
      <c r="D89" t="str">
        <f>VLOOKUP(A89, user_table!$A:$F, 5, FALSE)</f>
        <v>Mobile</v>
      </c>
      <c r="E89" t="str">
        <f>VLOOKUP(A89, user_table!$A:$F, 6, FALSE)</f>
        <v>Email</v>
      </c>
    </row>
    <row r="90" spans="1:5">
      <c r="A90">
        <v>1104</v>
      </c>
      <c r="B90" s="2">
        <v>45304.546527777777</v>
      </c>
      <c r="C90" t="str">
        <f>VLOOKUP(A90, user_table!$A:$B, 2, FALSE)</f>
        <v>Male</v>
      </c>
      <c r="D90" t="str">
        <f>VLOOKUP(A90, user_table!$A:$F, 5, FALSE)</f>
        <v>Tablet</v>
      </c>
      <c r="E90" t="str">
        <f>VLOOKUP(A90, user_table!$A:$F, 6, FALSE)</f>
        <v>Organic</v>
      </c>
    </row>
    <row r="91" spans="1:5">
      <c r="A91">
        <v>1948</v>
      </c>
      <c r="B91" s="2">
        <v>45351.818055555559</v>
      </c>
      <c r="C91" t="str">
        <f>VLOOKUP(A91, user_table!$A:$B, 2, FALSE)</f>
        <v>Female</v>
      </c>
      <c r="D91" t="str">
        <f>VLOOKUP(A91, user_table!$A:$F, 5, FALSE)</f>
        <v>Tablet</v>
      </c>
      <c r="E91" t="str">
        <f>VLOOKUP(A91, user_table!$A:$F, 6, FALSE)</f>
        <v>Paid</v>
      </c>
    </row>
    <row r="92" spans="1:5">
      <c r="A92">
        <v>1955</v>
      </c>
      <c r="B92" s="2">
        <v>45300.404166666667</v>
      </c>
      <c r="C92" t="str">
        <f>VLOOKUP(A92, user_table!$A:$B, 2, FALSE)</f>
        <v>Male</v>
      </c>
      <c r="D92" t="str">
        <f>VLOOKUP(A92, user_table!$A:$F, 5, FALSE)</f>
        <v>Mobile</v>
      </c>
      <c r="E92" t="str">
        <f>VLOOKUP(A92, user_table!$A:$F, 6, FALSE)</f>
        <v>Email</v>
      </c>
    </row>
    <row r="93" spans="1:5">
      <c r="A93">
        <v>1465</v>
      </c>
      <c r="B93" s="2">
        <v>45377.96597222222</v>
      </c>
      <c r="C93" t="str">
        <f>VLOOKUP(A93, user_table!$A:$B, 2, FALSE)</f>
        <v>Female</v>
      </c>
      <c r="D93" t="str">
        <f>VLOOKUP(A93, user_table!$A:$F, 5, FALSE)</f>
        <v>Mobile</v>
      </c>
      <c r="E93" t="str">
        <f>VLOOKUP(A93, user_table!$A:$F, 6, FALSE)</f>
        <v>Social</v>
      </c>
    </row>
    <row r="94" spans="1:5">
      <c r="A94">
        <v>1651</v>
      </c>
      <c r="B94" s="2">
        <v>45308.03125</v>
      </c>
      <c r="C94" t="str">
        <f>VLOOKUP(A94, user_table!$A:$B, 2, FALSE)</f>
        <v>Male</v>
      </c>
      <c r="D94" t="str">
        <f>VLOOKUP(A94, user_table!$A:$F, 5, FALSE)</f>
        <v>Mobile</v>
      </c>
      <c r="E94" t="str">
        <f>VLOOKUP(A94, user_table!$A:$F, 6, FALSE)</f>
        <v>Organic</v>
      </c>
    </row>
    <row r="95" spans="1:5">
      <c r="A95">
        <v>1855</v>
      </c>
      <c r="B95" s="2">
        <v>45310.916666666664</v>
      </c>
      <c r="C95" t="str">
        <f>VLOOKUP(A95, user_table!$A:$B, 2, FALSE)</f>
        <v>Male</v>
      </c>
      <c r="D95" t="str">
        <f>VLOOKUP(A95, user_table!$A:$F, 5, FALSE)</f>
        <v>Desktop</v>
      </c>
      <c r="E95" t="str">
        <f>VLOOKUP(A95, user_table!$A:$F, 6, FALSE)</f>
        <v>Paid</v>
      </c>
    </row>
    <row r="96" spans="1:5">
      <c r="A96">
        <v>1374</v>
      </c>
      <c r="B96" s="2">
        <v>45313.640277777777</v>
      </c>
      <c r="C96" t="str">
        <f>VLOOKUP(A96, user_table!$A:$B, 2, FALSE)</f>
        <v>Female</v>
      </c>
      <c r="D96" t="str">
        <f>VLOOKUP(A96, user_table!$A:$F, 5, FALSE)</f>
        <v>Desktop</v>
      </c>
      <c r="E96" t="str">
        <f>VLOOKUP(A96, user_table!$A:$F, 6, FALSE)</f>
        <v>Direct</v>
      </c>
    </row>
    <row r="97" spans="1:5">
      <c r="A97">
        <v>1167</v>
      </c>
      <c r="B97" s="2">
        <v>45359.701388888891</v>
      </c>
      <c r="C97" t="str">
        <f>VLOOKUP(A97, user_table!$A:$B, 2, FALSE)</f>
        <v>Male</v>
      </c>
      <c r="D97" t="str">
        <f>VLOOKUP(A97, user_table!$A:$F, 5, FALSE)</f>
        <v>Desktop</v>
      </c>
      <c r="E97" t="str">
        <f>VLOOKUP(A97, user_table!$A:$F, 6, FALSE)</f>
        <v>Email</v>
      </c>
    </row>
    <row r="98" spans="1:5">
      <c r="A98">
        <v>1380</v>
      </c>
      <c r="B98" s="2">
        <v>45326.224305555559</v>
      </c>
      <c r="C98" t="str">
        <f>VLOOKUP(A98, user_table!$A:$B, 2, FALSE)</f>
        <v>Male</v>
      </c>
      <c r="D98" t="str">
        <f>VLOOKUP(A98, user_table!$A:$F, 5, FALSE)</f>
        <v>Tablet</v>
      </c>
      <c r="E98" t="str">
        <f>VLOOKUP(A98, user_table!$A:$F, 6, FALSE)</f>
        <v>Organic</v>
      </c>
    </row>
    <row r="99" spans="1:5">
      <c r="A99">
        <v>1364</v>
      </c>
      <c r="B99" s="2">
        <v>45309.992361111108</v>
      </c>
      <c r="C99" t="str">
        <f>VLOOKUP(A99, user_table!$A:$B, 2, FALSE)</f>
        <v>Female</v>
      </c>
      <c r="D99" t="str">
        <f>VLOOKUP(A99, user_table!$A:$F, 5, FALSE)</f>
        <v>Desktop</v>
      </c>
      <c r="E99" t="str">
        <f>VLOOKUP(A99, user_table!$A:$F, 6, FALSE)</f>
        <v>Email</v>
      </c>
    </row>
    <row r="100" spans="1:5">
      <c r="A100">
        <v>1215</v>
      </c>
      <c r="B100" s="2">
        <v>45327.99722222222</v>
      </c>
      <c r="C100" t="str">
        <f>VLOOKUP(A100, user_table!$A:$B, 2, FALSE)</f>
        <v>Female</v>
      </c>
      <c r="D100" t="str">
        <f>VLOOKUP(A100, user_table!$A:$F, 5, FALSE)</f>
        <v>Desktop</v>
      </c>
      <c r="E100" t="str">
        <f>VLOOKUP(A100, user_table!$A:$F, 6, FALSE)</f>
        <v>Organic</v>
      </c>
    </row>
    <row r="101" spans="1:5">
      <c r="A101">
        <v>1687</v>
      </c>
      <c r="B101" s="2">
        <v>45308.01458333333</v>
      </c>
      <c r="C101" t="str">
        <f>VLOOKUP(A101, user_table!$A:$B, 2, FALSE)</f>
        <v>Female</v>
      </c>
      <c r="D101" t="str">
        <f>VLOOKUP(A101, user_table!$A:$F, 5, FALSE)</f>
        <v>Desktop</v>
      </c>
      <c r="E101" t="str">
        <f>VLOOKUP(A101, user_table!$A:$F, 6, FALSE)</f>
        <v>Email</v>
      </c>
    </row>
    <row r="102" spans="1:5">
      <c r="A102">
        <v>1274</v>
      </c>
      <c r="B102" s="2">
        <v>45347.356249999997</v>
      </c>
      <c r="C102" t="str">
        <f>VLOOKUP(A102, user_table!$A:$B, 2, FALSE)</f>
        <v>Female</v>
      </c>
      <c r="D102" t="str">
        <f>VLOOKUP(A102, user_table!$A:$F, 5, FALSE)</f>
        <v>Desktop</v>
      </c>
      <c r="E102" t="str">
        <f>VLOOKUP(A102, user_table!$A:$F, 6, FALSE)</f>
        <v>Paid</v>
      </c>
    </row>
    <row r="103" spans="1:5">
      <c r="A103">
        <v>1971</v>
      </c>
      <c r="B103" s="2">
        <v>45301.364583333336</v>
      </c>
      <c r="C103" t="str">
        <f>VLOOKUP(A103, user_table!$A:$B, 2, FALSE)</f>
        <v>Female</v>
      </c>
      <c r="D103" t="str">
        <f>VLOOKUP(A103, user_table!$A:$F, 5, FALSE)</f>
        <v>Desktop</v>
      </c>
      <c r="E103" t="str">
        <f>VLOOKUP(A103, user_table!$A:$F, 6, FALSE)</f>
        <v>Email</v>
      </c>
    </row>
    <row r="104" spans="1:5">
      <c r="A104">
        <v>1700</v>
      </c>
      <c r="B104" s="2">
        <v>45366.836111111108</v>
      </c>
      <c r="C104" t="str">
        <f>VLOOKUP(A104, user_table!$A:$B, 2, FALSE)</f>
        <v>Male</v>
      </c>
      <c r="D104" t="str">
        <f>VLOOKUP(A104, user_table!$A:$F, 5, FALSE)</f>
        <v>Desktop</v>
      </c>
      <c r="E104" t="str">
        <f>VLOOKUP(A104, user_table!$A:$F, 6, FALSE)</f>
        <v>Social</v>
      </c>
    </row>
    <row r="105" spans="1:5">
      <c r="A105">
        <v>1664</v>
      </c>
      <c r="B105" s="2">
        <v>45356.605555555558</v>
      </c>
      <c r="C105" t="str">
        <f>VLOOKUP(A105, user_table!$A:$B, 2, FALSE)</f>
        <v>Male</v>
      </c>
      <c r="D105" t="str">
        <f>VLOOKUP(A105, user_table!$A:$F, 5, FALSE)</f>
        <v>Mobile</v>
      </c>
      <c r="E105" t="str">
        <f>VLOOKUP(A105, user_table!$A:$F, 6, FALSE)</f>
        <v>Direct</v>
      </c>
    </row>
    <row r="106" spans="1:5">
      <c r="A106">
        <v>1074</v>
      </c>
      <c r="B106" s="2">
        <v>45339.063194444447</v>
      </c>
      <c r="C106" t="str">
        <f>VLOOKUP(A106, user_table!$A:$B, 2, FALSE)</f>
        <v>Female</v>
      </c>
      <c r="D106" t="str">
        <f>VLOOKUP(A106, user_table!$A:$F, 5, FALSE)</f>
        <v>Mobile</v>
      </c>
      <c r="E106" t="str">
        <f>VLOOKUP(A106, user_table!$A:$F, 6, FALSE)</f>
        <v>Paid</v>
      </c>
    </row>
    <row r="107" spans="1:5">
      <c r="A107">
        <v>1624</v>
      </c>
      <c r="B107" s="2">
        <v>45365.224305555559</v>
      </c>
      <c r="C107" t="str">
        <f>VLOOKUP(A107, user_table!$A:$B, 2, FALSE)</f>
        <v>Male</v>
      </c>
      <c r="D107" t="str">
        <f>VLOOKUP(A107, user_table!$A:$F, 5, FALSE)</f>
        <v>Desktop</v>
      </c>
      <c r="E107" t="str">
        <f>VLOOKUP(A107, user_table!$A:$F, 6, FALSE)</f>
        <v>Social</v>
      </c>
    </row>
    <row r="108" spans="1:5">
      <c r="A108">
        <v>1908</v>
      </c>
      <c r="B108" s="2">
        <v>45313.367361111108</v>
      </c>
      <c r="C108" t="str">
        <f>VLOOKUP(A108, user_table!$A:$B, 2, FALSE)</f>
        <v>Male</v>
      </c>
      <c r="D108" t="str">
        <f>VLOOKUP(A108, user_table!$A:$F, 5, FALSE)</f>
        <v>Tablet</v>
      </c>
      <c r="E108" t="str">
        <f>VLOOKUP(A108, user_table!$A:$F, 6, FALSE)</f>
        <v>Email</v>
      </c>
    </row>
    <row r="109" spans="1:5">
      <c r="A109">
        <v>1176</v>
      </c>
      <c r="B109" s="2">
        <v>45306.779861111114</v>
      </c>
      <c r="C109" t="str">
        <f>VLOOKUP(A109, user_table!$A:$B, 2, FALSE)</f>
        <v>Male</v>
      </c>
      <c r="D109" t="str">
        <f>VLOOKUP(A109, user_table!$A:$F, 5, FALSE)</f>
        <v>Desktop</v>
      </c>
      <c r="E109" t="str">
        <f>VLOOKUP(A109, user_table!$A:$F, 6, FALSE)</f>
        <v>Organic</v>
      </c>
    </row>
    <row r="110" spans="1:5">
      <c r="A110">
        <v>1547</v>
      </c>
      <c r="B110" s="2">
        <v>45307.324305555558</v>
      </c>
      <c r="C110" t="str">
        <f>VLOOKUP(A110, user_table!$A:$B, 2, FALSE)</f>
        <v>Male</v>
      </c>
      <c r="D110" t="str">
        <f>VLOOKUP(A110, user_table!$A:$F, 5, FALSE)</f>
        <v>Desktop</v>
      </c>
      <c r="E110" t="str">
        <f>VLOOKUP(A110, user_table!$A:$F, 6, FALSE)</f>
        <v>Organic</v>
      </c>
    </row>
    <row r="111" spans="1:5">
      <c r="A111">
        <v>1747</v>
      </c>
      <c r="B111" s="2">
        <v>45358.001388888886</v>
      </c>
      <c r="C111" t="str">
        <f>VLOOKUP(A111, user_table!$A:$B, 2, FALSE)</f>
        <v>Male</v>
      </c>
      <c r="D111" t="str">
        <f>VLOOKUP(A111, user_table!$A:$F, 5, FALSE)</f>
        <v>Desktop</v>
      </c>
      <c r="E111" t="str">
        <f>VLOOKUP(A111, user_table!$A:$F, 6, FALSE)</f>
        <v>Paid</v>
      </c>
    </row>
    <row r="112" spans="1:5">
      <c r="A112">
        <v>1995</v>
      </c>
      <c r="B112" s="2">
        <v>45294.293055555558</v>
      </c>
      <c r="C112" t="str">
        <f>VLOOKUP(A112, user_table!$A:$B, 2, FALSE)</f>
        <v>Male</v>
      </c>
      <c r="D112" t="str">
        <f>VLOOKUP(A112, user_table!$A:$F, 5, FALSE)</f>
        <v>Desktop</v>
      </c>
      <c r="E112" t="str">
        <f>VLOOKUP(A112, user_table!$A:$F, 6, FALSE)</f>
        <v>Email</v>
      </c>
    </row>
    <row r="113" spans="1:5">
      <c r="A113">
        <v>1168</v>
      </c>
      <c r="B113" s="2">
        <v>45353.474999999999</v>
      </c>
      <c r="C113" t="str">
        <f>VLOOKUP(A113, user_table!$A:$B, 2, FALSE)</f>
        <v>Male</v>
      </c>
      <c r="D113" t="str">
        <f>VLOOKUP(A113, user_table!$A:$F, 5, FALSE)</f>
        <v>Desktop</v>
      </c>
      <c r="E113" t="str">
        <f>VLOOKUP(A113, user_table!$A:$F, 6, FALSE)</f>
        <v>Organic</v>
      </c>
    </row>
    <row r="114" spans="1:5">
      <c r="A114">
        <v>1474</v>
      </c>
      <c r="B114" s="2">
        <v>45312.249305555553</v>
      </c>
      <c r="C114" t="str">
        <f>VLOOKUP(A114, user_table!$A:$B, 2, FALSE)</f>
        <v>Female</v>
      </c>
      <c r="D114" t="str">
        <f>VLOOKUP(A114, user_table!$A:$F, 5, FALSE)</f>
        <v>Mobile</v>
      </c>
      <c r="E114" t="str">
        <f>VLOOKUP(A114, user_table!$A:$F, 6, FALSE)</f>
        <v>Organic</v>
      </c>
    </row>
    <row r="115" spans="1:5">
      <c r="A115">
        <v>1389</v>
      </c>
      <c r="B115" s="2">
        <v>45297.743750000001</v>
      </c>
      <c r="C115" t="str">
        <f>VLOOKUP(A115, user_table!$A:$B, 2, FALSE)</f>
        <v>Female</v>
      </c>
      <c r="D115" t="str">
        <f>VLOOKUP(A115, user_table!$A:$F, 5, FALSE)</f>
        <v>Desktop</v>
      </c>
      <c r="E115" t="str">
        <f>VLOOKUP(A115, user_table!$A:$F, 6, FALSE)</f>
        <v>Direct</v>
      </c>
    </row>
    <row r="116" spans="1:5">
      <c r="A116">
        <v>1277</v>
      </c>
      <c r="B116" s="2">
        <v>45376.551388888889</v>
      </c>
      <c r="C116" t="str">
        <f>VLOOKUP(A116, user_table!$A:$B, 2, FALSE)</f>
        <v>Female</v>
      </c>
      <c r="D116" t="str">
        <f>VLOOKUP(A116, user_table!$A:$F, 5, FALSE)</f>
        <v>Tablet</v>
      </c>
      <c r="E116" t="str">
        <f>VLOOKUP(A116, user_table!$A:$F, 6, FALSE)</f>
        <v>Organic</v>
      </c>
    </row>
    <row r="117" spans="1:5">
      <c r="A117">
        <v>1656</v>
      </c>
      <c r="B117" s="2">
        <v>45334.30972222222</v>
      </c>
      <c r="C117" t="str">
        <f>VLOOKUP(A117, user_table!$A:$B, 2, FALSE)</f>
        <v>Male</v>
      </c>
      <c r="D117" t="str">
        <f>VLOOKUP(A117, user_table!$A:$F, 5, FALSE)</f>
        <v>Desktop</v>
      </c>
      <c r="E117" t="str">
        <f>VLOOKUP(A117, user_table!$A:$F, 6, FALSE)</f>
        <v>Organic</v>
      </c>
    </row>
    <row r="118" spans="1:5">
      <c r="A118">
        <v>1705</v>
      </c>
      <c r="B118" s="2">
        <v>45333.369444444441</v>
      </c>
      <c r="C118" t="str">
        <f>VLOOKUP(A118, user_table!$A:$B, 2, FALSE)</f>
        <v>Male</v>
      </c>
      <c r="D118" t="str">
        <f>VLOOKUP(A118, user_table!$A:$F, 5, FALSE)</f>
        <v>Desktop</v>
      </c>
      <c r="E118" t="str">
        <f>VLOOKUP(A118, user_table!$A:$F, 6, FALSE)</f>
        <v>Organic</v>
      </c>
    </row>
    <row r="119" spans="1:5">
      <c r="A119">
        <v>1571</v>
      </c>
      <c r="B119" s="2">
        <v>45302.765972222223</v>
      </c>
      <c r="C119" t="str">
        <f>VLOOKUP(A119, user_table!$A:$B, 2, FALSE)</f>
        <v>Male</v>
      </c>
      <c r="D119" t="str">
        <f>VLOOKUP(A119, user_table!$A:$F, 5, FALSE)</f>
        <v>Desktop</v>
      </c>
      <c r="E119" t="str">
        <f>VLOOKUP(A119, user_table!$A:$F, 6, FALSE)</f>
        <v>Paid</v>
      </c>
    </row>
    <row r="120" spans="1:5">
      <c r="A120">
        <v>1225</v>
      </c>
      <c r="B120" s="2">
        <v>45308.696527777778</v>
      </c>
      <c r="C120" t="str">
        <f>VLOOKUP(A120, user_table!$A:$B, 2, FALSE)</f>
        <v>Male</v>
      </c>
      <c r="D120" t="str">
        <f>VLOOKUP(A120, user_table!$A:$F, 5, FALSE)</f>
        <v>Mobile</v>
      </c>
      <c r="E120" t="str">
        <f>VLOOKUP(A120, user_table!$A:$F, 6, FALSE)</f>
        <v>Direct</v>
      </c>
    </row>
    <row r="121" spans="1:5">
      <c r="A121">
        <v>1702</v>
      </c>
      <c r="B121" s="2">
        <v>45299.218055555553</v>
      </c>
      <c r="C121" t="str">
        <f>VLOOKUP(A121, user_table!$A:$B, 2, FALSE)</f>
        <v>Male</v>
      </c>
      <c r="D121" t="str">
        <f>VLOOKUP(A121, user_table!$A:$F, 5, FALSE)</f>
        <v>Desktop</v>
      </c>
      <c r="E121" t="str">
        <f>VLOOKUP(A121, user_table!$A:$F, 6, FALSE)</f>
        <v>Paid</v>
      </c>
    </row>
    <row r="122" spans="1:5">
      <c r="A122">
        <v>1333</v>
      </c>
      <c r="B122" s="2">
        <v>45359.059027777781</v>
      </c>
      <c r="C122" t="str">
        <f>VLOOKUP(A122, user_table!$A:$B, 2, FALSE)</f>
        <v>Male</v>
      </c>
      <c r="D122" t="str">
        <f>VLOOKUP(A122, user_table!$A:$F, 5, FALSE)</f>
        <v>Desktop</v>
      </c>
      <c r="E122" t="str">
        <f>VLOOKUP(A122, user_table!$A:$F, 6, FALSE)</f>
        <v>Paid</v>
      </c>
    </row>
    <row r="123" spans="1:5">
      <c r="A123">
        <v>1864</v>
      </c>
      <c r="B123" s="2">
        <v>45301.621527777781</v>
      </c>
      <c r="C123" t="str">
        <f>VLOOKUP(A123, user_table!$A:$B, 2, FALSE)</f>
        <v>Male</v>
      </c>
      <c r="D123" t="str">
        <f>VLOOKUP(A123, user_table!$A:$F, 5, FALSE)</f>
        <v>Desktop</v>
      </c>
      <c r="E123" t="str">
        <f>VLOOKUP(A123, user_table!$A:$F, 6, FALSE)</f>
        <v>Paid</v>
      </c>
    </row>
    <row r="124" spans="1:5">
      <c r="A124">
        <v>1787</v>
      </c>
      <c r="B124" s="2">
        <v>45329.388888888891</v>
      </c>
      <c r="C124" t="str">
        <f>VLOOKUP(A124, user_table!$A:$B, 2, FALSE)</f>
        <v>Female</v>
      </c>
      <c r="D124" t="str">
        <f>VLOOKUP(A124, user_table!$A:$F, 5, FALSE)</f>
        <v>Mobile</v>
      </c>
      <c r="E124" t="str">
        <f>VLOOKUP(A124, user_table!$A:$F, 6, FALSE)</f>
        <v>Paid</v>
      </c>
    </row>
    <row r="125" spans="1:5">
      <c r="A125">
        <v>1795</v>
      </c>
      <c r="B125" s="2">
        <v>45304.728472222225</v>
      </c>
      <c r="C125" t="str">
        <f>VLOOKUP(A125, user_table!$A:$B, 2, FALSE)</f>
        <v>Male</v>
      </c>
      <c r="D125" t="str">
        <f>VLOOKUP(A125, user_table!$A:$F, 5, FALSE)</f>
        <v>Mobile</v>
      </c>
      <c r="E125" t="str">
        <f>VLOOKUP(A125, user_table!$A:$F, 6, FALSE)</f>
        <v>Social</v>
      </c>
    </row>
    <row r="126" spans="1:5">
      <c r="A126">
        <v>1058</v>
      </c>
      <c r="B126" s="2">
        <v>45294.466666666667</v>
      </c>
      <c r="C126" t="str">
        <f>VLOOKUP(A126, user_table!$A:$B, 2, FALSE)</f>
        <v>Male</v>
      </c>
      <c r="D126" t="str">
        <f>VLOOKUP(A126, user_table!$A:$F, 5, FALSE)</f>
        <v>Desktop</v>
      </c>
      <c r="E126" t="str">
        <f>VLOOKUP(A126, user_table!$A:$F, 6, FALSE)</f>
        <v>Organic</v>
      </c>
    </row>
    <row r="127" spans="1:5">
      <c r="A127">
        <v>1235</v>
      </c>
      <c r="B127" s="2">
        <v>45330.784722222219</v>
      </c>
      <c r="C127" t="str">
        <f>VLOOKUP(A127, user_table!$A:$B, 2, FALSE)</f>
        <v>Male</v>
      </c>
      <c r="D127" t="str">
        <f>VLOOKUP(A127, user_table!$A:$F, 5, FALSE)</f>
        <v>Mobile</v>
      </c>
      <c r="E127" t="str">
        <f>VLOOKUP(A127, user_table!$A:$F, 6, FALSE)</f>
        <v>Organic</v>
      </c>
    </row>
    <row r="128" spans="1:5">
      <c r="A128">
        <v>1842</v>
      </c>
      <c r="B128" s="2">
        <v>45331.98541666667</v>
      </c>
      <c r="C128" t="str">
        <f>VLOOKUP(A128, user_table!$A:$B, 2, FALSE)</f>
        <v>Female</v>
      </c>
      <c r="D128" t="str">
        <f>VLOOKUP(A128, user_table!$A:$F, 5, FALSE)</f>
        <v>Desktop</v>
      </c>
      <c r="E128" t="str">
        <f>VLOOKUP(A128, user_table!$A:$F, 6, FALSE)</f>
        <v>Organic</v>
      </c>
    </row>
    <row r="129" spans="1:5">
      <c r="A129">
        <v>1983</v>
      </c>
      <c r="B129" s="2">
        <v>45324.599305555559</v>
      </c>
      <c r="C129" t="str">
        <f>VLOOKUP(A129, user_table!$A:$B, 2, FALSE)</f>
        <v>Male</v>
      </c>
      <c r="D129" t="str">
        <f>VLOOKUP(A129, user_table!$A:$F, 5, FALSE)</f>
        <v>Mobile</v>
      </c>
      <c r="E129" t="str">
        <f>VLOOKUP(A129, user_table!$A:$F, 6, FALSE)</f>
        <v>Social</v>
      </c>
    </row>
    <row r="130" spans="1:5">
      <c r="A130">
        <v>1825</v>
      </c>
      <c r="B130" s="2">
        <v>45368.65902777778</v>
      </c>
      <c r="C130" t="str">
        <f>VLOOKUP(A130, user_table!$A:$B, 2, FALSE)</f>
        <v>Female</v>
      </c>
      <c r="D130" t="str">
        <f>VLOOKUP(A130, user_table!$A:$F, 5, FALSE)</f>
        <v>Desktop</v>
      </c>
      <c r="E130" t="str">
        <f>VLOOKUP(A130, user_table!$A:$F, 6, FALSE)</f>
        <v>Organic</v>
      </c>
    </row>
    <row r="131" spans="1:5">
      <c r="A131">
        <v>1324</v>
      </c>
      <c r="B131" s="2">
        <v>45318.997916666667</v>
      </c>
      <c r="C131" t="str">
        <f>VLOOKUP(A131, user_table!$A:$B, 2, FALSE)</f>
        <v>Male</v>
      </c>
      <c r="D131" t="str">
        <f>VLOOKUP(A131, user_table!$A:$F, 5, FALSE)</f>
        <v>Tablet</v>
      </c>
      <c r="E131" t="str">
        <f>VLOOKUP(A131, user_table!$A:$F, 6, FALSE)</f>
        <v>Direct</v>
      </c>
    </row>
    <row r="132" spans="1:5">
      <c r="A132">
        <v>1411</v>
      </c>
      <c r="B132" s="2">
        <v>45362.29791666667</v>
      </c>
      <c r="C132" t="str">
        <f>VLOOKUP(A132, user_table!$A:$B, 2, FALSE)</f>
        <v>Male</v>
      </c>
      <c r="D132" t="str">
        <f>VLOOKUP(A132, user_table!$A:$F, 5, FALSE)</f>
        <v>Desktop</v>
      </c>
      <c r="E132" t="str">
        <f>VLOOKUP(A132, user_table!$A:$F, 6, FALSE)</f>
        <v>Social</v>
      </c>
    </row>
    <row r="133" spans="1:5">
      <c r="A133">
        <v>1275</v>
      </c>
      <c r="B133" s="2">
        <v>45293.542361111111</v>
      </c>
      <c r="C133" t="str">
        <f>VLOOKUP(A133, user_table!$A:$B, 2, FALSE)</f>
        <v>Male</v>
      </c>
      <c r="D133" t="str">
        <f>VLOOKUP(A133, user_table!$A:$F, 5, FALSE)</f>
        <v>Mobile</v>
      </c>
      <c r="E133" t="str">
        <f>VLOOKUP(A133, user_table!$A:$F, 6, FALSE)</f>
        <v>Paid</v>
      </c>
    </row>
    <row r="134" spans="1:5">
      <c r="A134">
        <v>1068</v>
      </c>
      <c r="B134" s="2">
        <v>45322.723611111112</v>
      </c>
      <c r="C134" t="str">
        <f>VLOOKUP(A134, user_table!$A:$B, 2, FALSE)</f>
        <v>Female</v>
      </c>
      <c r="D134" t="str">
        <f>VLOOKUP(A134, user_table!$A:$F, 5, FALSE)</f>
        <v>Desktop</v>
      </c>
      <c r="E134" t="str">
        <f>VLOOKUP(A134, user_table!$A:$F, 6, FALSE)</f>
        <v>Social</v>
      </c>
    </row>
    <row r="135" spans="1:5">
      <c r="A135">
        <v>1217</v>
      </c>
      <c r="B135" s="2">
        <v>45374.955555555556</v>
      </c>
      <c r="C135" t="str">
        <f>VLOOKUP(A135, user_table!$A:$B, 2, FALSE)</f>
        <v>Male</v>
      </c>
      <c r="D135" t="str">
        <f>VLOOKUP(A135, user_table!$A:$F, 5, FALSE)</f>
        <v>Mobile</v>
      </c>
      <c r="E135" t="str">
        <f>VLOOKUP(A135, user_table!$A:$F, 6, FALSE)</f>
        <v>Social</v>
      </c>
    </row>
    <row r="136" spans="1:5">
      <c r="A136">
        <v>1581</v>
      </c>
      <c r="B136" s="2">
        <v>45294.416666666664</v>
      </c>
      <c r="C136" t="str">
        <f>VLOOKUP(A136, user_table!$A:$B, 2, FALSE)</f>
        <v>Male</v>
      </c>
      <c r="D136" t="str">
        <f>VLOOKUP(A136, user_table!$A:$F, 5, FALSE)</f>
        <v>Mobile</v>
      </c>
      <c r="E136" t="str">
        <f>VLOOKUP(A136, user_table!$A:$F, 6, FALSE)</f>
        <v>Email</v>
      </c>
    </row>
    <row r="137" spans="1:5">
      <c r="A137">
        <v>1736</v>
      </c>
      <c r="B137" s="2">
        <v>45377.537499999999</v>
      </c>
      <c r="C137" t="str">
        <f>VLOOKUP(A137, user_table!$A:$B, 2, FALSE)</f>
        <v>Female</v>
      </c>
      <c r="D137" t="str">
        <f>VLOOKUP(A137, user_table!$A:$F, 5, FALSE)</f>
        <v>Mobile</v>
      </c>
      <c r="E137" t="str">
        <f>VLOOKUP(A137, user_table!$A:$F, 6, FALSE)</f>
        <v>Organic</v>
      </c>
    </row>
    <row r="138" spans="1:5">
      <c r="A138">
        <v>1323</v>
      </c>
      <c r="B138" s="2">
        <v>45332.134027777778</v>
      </c>
      <c r="C138" t="str">
        <f>VLOOKUP(A138, user_table!$A:$B, 2, FALSE)</f>
        <v>Female</v>
      </c>
      <c r="D138" t="str">
        <f>VLOOKUP(A138, user_table!$A:$F, 5, FALSE)</f>
        <v>Mobile</v>
      </c>
      <c r="E138" t="str">
        <f>VLOOKUP(A138, user_table!$A:$F, 6, FALSE)</f>
        <v>Email</v>
      </c>
    </row>
    <row r="139" spans="1:5">
      <c r="A139">
        <v>1218</v>
      </c>
      <c r="B139" s="2">
        <v>45360.30972222222</v>
      </c>
      <c r="C139" t="str">
        <f>VLOOKUP(A139, user_table!$A:$B, 2, FALSE)</f>
        <v>Female</v>
      </c>
      <c r="D139" t="str">
        <f>VLOOKUP(A139, user_table!$A:$F, 5, FALSE)</f>
        <v>Desktop</v>
      </c>
      <c r="E139" t="str">
        <f>VLOOKUP(A139, user_table!$A:$F, 6, FALSE)</f>
        <v>Organic</v>
      </c>
    </row>
    <row r="140" spans="1:5">
      <c r="A140">
        <v>1672</v>
      </c>
      <c r="B140" s="2">
        <v>45355.04791666667</v>
      </c>
      <c r="C140" t="str">
        <f>VLOOKUP(A140, user_table!$A:$B, 2, FALSE)</f>
        <v>Female</v>
      </c>
      <c r="D140" t="str">
        <f>VLOOKUP(A140, user_table!$A:$F, 5, FALSE)</f>
        <v>Desktop</v>
      </c>
      <c r="E140" t="str">
        <f>VLOOKUP(A140, user_table!$A:$F, 6, FALSE)</f>
        <v>Social</v>
      </c>
    </row>
    <row r="141" spans="1:5">
      <c r="A141">
        <v>1512</v>
      </c>
      <c r="B141" s="2">
        <v>45328.084722222222</v>
      </c>
      <c r="C141" t="str">
        <f>VLOOKUP(A141, user_table!$A:$B, 2, FALSE)</f>
        <v>Male</v>
      </c>
      <c r="D141" t="str">
        <f>VLOOKUP(A141, user_table!$A:$F, 5, FALSE)</f>
        <v>Desktop</v>
      </c>
      <c r="E141" t="str">
        <f>VLOOKUP(A141, user_table!$A:$F, 6, FALSE)</f>
        <v>Paid</v>
      </c>
    </row>
    <row r="142" spans="1:5">
      <c r="A142">
        <v>1406</v>
      </c>
      <c r="B142" s="2">
        <v>45322.68472222222</v>
      </c>
      <c r="C142" t="str">
        <f>VLOOKUP(A142, user_table!$A:$B, 2, FALSE)</f>
        <v>Female</v>
      </c>
      <c r="D142" t="str">
        <f>VLOOKUP(A142, user_table!$A:$F, 5, FALSE)</f>
        <v>Tablet</v>
      </c>
      <c r="E142" t="str">
        <f>VLOOKUP(A142, user_table!$A:$F, 6, FALSE)</f>
        <v>Direct</v>
      </c>
    </row>
    <row r="143" spans="1:5">
      <c r="A143">
        <v>1659</v>
      </c>
      <c r="B143" s="2">
        <v>45382.478472222225</v>
      </c>
      <c r="C143" t="str">
        <f>VLOOKUP(A143, user_table!$A:$B, 2, FALSE)</f>
        <v>Female</v>
      </c>
      <c r="D143" t="str">
        <f>VLOOKUP(A143, user_table!$A:$F, 5, FALSE)</f>
        <v>Mobile</v>
      </c>
      <c r="E143" t="str">
        <f>VLOOKUP(A143, user_table!$A:$F, 6, FALSE)</f>
        <v>Social</v>
      </c>
    </row>
    <row r="144" spans="1:5">
      <c r="A144">
        <v>1470</v>
      </c>
      <c r="B144" s="2">
        <v>45303.754166666666</v>
      </c>
      <c r="C144" t="str">
        <f>VLOOKUP(A144, user_table!$A:$B, 2, FALSE)</f>
        <v>Female</v>
      </c>
      <c r="D144" t="str">
        <f>VLOOKUP(A144, user_table!$A:$F, 5, FALSE)</f>
        <v>Mobile</v>
      </c>
      <c r="E144" t="str">
        <f>VLOOKUP(A144, user_table!$A:$F, 6, FALSE)</f>
        <v>Organic</v>
      </c>
    </row>
    <row r="145" spans="1:5">
      <c r="A145">
        <v>1147</v>
      </c>
      <c r="B145" s="2">
        <v>45357.194444444445</v>
      </c>
      <c r="C145" t="str">
        <f>VLOOKUP(A145, user_table!$A:$B, 2, FALSE)</f>
        <v>Female</v>
      </c>
      <c r="D145" t="str">
        <f>VLOOKUP(A145, user_table!$A:$F, 5, FALSE)</f>
        <v>Desktop</v>
      </c>
      <c r="E145" t="str">
        <f>VLOOKUP(A145, user_table!$A:$F, 6, FALSE)</f>
        <v>Organic</v>
      </c>
    </row>
    <row r="146" spans="1:5">
      <c r="A146">
        <v>1272</v>
      </c>
      <c r="B146" s="2">
        <v>45343.109027777777</v>
      </c>
      <c r="C146" t="str">
        <f>VLOOKUP(A146, user_table!$A:$B, 2, FALSE)</f>
        <v>Female</v>
      </c>
      <c r="D146" t="str">
        <f>VLOOKUP(A146, user_table!$A:$F, 5, FALSE)</f>
        <v>Mobile</v>
      </c>
      <c r="E146" t="str">
        <f>VLOOKUP(A146, user_table!$A:$F, 6, FALSE)</f>
        <v>Organic</v>
      </c>
    </row>
    <row r="147" spans="1:5">
      <c r="A147">
        <v>1993</v>
      </c>
      <c r="B147" s="2">
        <v>45365.060416666667</v>
      </c>
      <c r="C147" t="str">
        <f>VLOOKUP(A147, user_table!$A:$B, 2, FALSE)</f>
        <v>Male</v>
      </c>
      <c r="D147" t="str">
        <f>VLOOKUP(A147, user_table!$A:$F, 5, FALSE)</f>
        <v>Desktop</v>
      </c>
      <c r="E147" t="str">
        <f>VLOOKUP(A147, user_table!$A:$F, 6, FALSE)</f>
        <v>Paid</v>
      </c>
    </row>
    <row r="148" spans="1:5">
      <c r="A148">
        <v>1253</v>
      </c>
      <c r="B148" s="2">
        <v>45377.177083333336</v>
      </c>
      <c r="C148" t="str">
        <f>VLOOKUP(A148, user_table!$A:$B, 2, FALSE)</f>
        <v>Female</v>
      </c>
      <c r="D148" t="str">
        <f>VLOOKUP(A148, user_table!$A:$F, 5, FALSE)</f>
        <v>Desktop</v>
      </c>
      <c r="E148" t="str">
        <f>VLOOKUP(A148, user_table!$A:$F, 6, FALSE)</f>
        <v>Direct</v>
      </c>
    </row>
    <row r="149" spans="1:5">
      <c r="A149">
        <v>1763</v>
      </c>
      <c r="B149" s="2">
        <v>45330.370833333334</v>
      </c>
      <c r="C149" t="str">
        <f>VLOOKUP(A149, user_table!$A:$B, 2, FALSE)</f>
        <v>Male</v>
      </c>
      <c r="D149" t="str">
        <f>VLOOKUP(A149, user_table!$A:$F, 5, FALSE)</f>
        <v>Mobile</v>
      </c>
      <c r="E149" t="str">
        <f>VLOOKUP(A149, user_table!$A:$F, 6, FALSE)</f>
        <v>Paid</v>
      </c>
    </row>
    <row r="150" spans="1:5">
      <c r="A150">
        <v>1975</v>
      </c>
      <c r="B150" s="2">
        <v>45333.530555555553</v>
      </c>
      <c r="C150" t="str">
        <f>VLOOKUP(A150, user_table!$A:$B, 2, FALSE)</f>
        <v>Male</v>
      </c>
      <c r="D150" t="str">
        <f>VLOOKUP(A150, user_table!$A:$F, 5, FALSE)</f>
        <v>Tablet</v>
      </c>
      <c r="E150" t="str">
        <f>VLOOKUP(A150, user_table!$A:$F, 6, FALSE)</f>
        <v>Paid</v>
      </c>
    </row>
    <row r="151" spans="1:5">
      <c r="A151">
        <v>1552</v>
      </c>
      <c r="B151" s="2">
        <v>45334.436111111114</v>
      </c>
      <c r="C151" t="str">
        <f>VLOOKUP(A151, user_table!$A:$B, 2, FALSE)</f>
        <v>Female</v>
      </c>
      <c r="D151" t="str">
        <f>VLOOKUP(A151, user_table!$A:$F, 5, FALSE)</f>
        <v>Mobile</v>
      </c>
      <c r="E151" t="str">
        <f>VLOOKUP(A151, user_table!$A:$F, 6, FALSE)</f>
        <v>Organic</v>
      </c>
    </row>
    <row r="152" spans="1:5">
      <c r="A152">
        <v>1270</v>
      </c>
      <c r="B152" s="2">
        <v>45327.294444444444</v>
      </c>
      <c r="C152" t="str">
        <f>VLOOKUP(A152, user_table!$A:$B, 2, FALSE)</f>
        <v>Male</v>
      </c>
      <c r="D152" t="str">
        <f>VLOOKUP(A152, user_table!$A:$F, 5, FALSE)</f>
        <v>Mobile</v>
      </c>
      <c r="E152" t="str">
        <f>VLOOKUP(A152, user_table!$A:$F, 6, FALSE)</f>
        <v>Organic</v>
      </c>
    </row>
    <row r="153" spans="1:5">
      <c r="A153">
        <v>1765</v>
      </c>
      <c r="B153" s="2">
        <v>45318.200694444444</v>
      </c>
      <c r="C153" t="str">
        <f>VLOOKUP(A153, user_table!$A:$B, 2, FALSE)</f>
        <v>Male</v>
      </c>
      <c r="D153" t="str">
        <f>VLOOKUP(A153, user_table!$A:$F, 5, FALSE)</f>
        <v>Mobile</v>
      </c>
      <c r="E153" t="str">
        <f>VLOOKUP(A153, user_table!$A:$F, 6, FALSE)</f>
        <v>Organic</v>
      </c>
    </row>
    <row r="154" spans="1:5">
      <c r="A154">
        <v>1599</v>
      </c>
      <c r="B154" s="2">
        <v>45367.131249999999</v>
      </c>
      <c r="C154" t="str">
        <f>VLOOKUP(A154, user_table!$A:$B, 2, FALSE)</f>
        <v>Male</v>
      </c>
      <c r="D154" t="str">
        <f>VLOOKUP(A154, user_table!$A:$F, 5, FALSE)</f>
        <v>Desktop</v>
      </c>
      <c r="E154" t="str">
        <f>VLOOKUP(A154, user_table!$A:$F, 6, FALSE)</f>
        <v>Organic</v>
      </c>
    </row>
    <row r="155" spans="1:5">
      <c r="A155">
        <v>1439</v>
      </c>
      <c r="B155" s="2">
        <v>45306.227777777778</v>
      </c>
      <c r="C155" t="str">
        <f>VLOOKUP(A155, user_table!$A:$B, 2, FALSE)</f>
        <v>Female</v>
      </c>
      <c r="D155" t="str">
        <f>VLOOKUP(A155, user_table!$A:$F, 5, FALSE)</f>
        <v>Desktop</v>
      </c>
      <c r="E155" t="str">
        <f>VLOOKUP(A155, user_table!$A:$F, 6, FALSE)</f>
        <v>Social</v>
      </c>
    </row>
    <row r="156" spans="1:5">
      <c r="A156">
        <v>1598</v>
      </c>
      <c r="B156" s="2">
        <v>45352.43472222222</v>
      </c>
      <c r="C156" t="str">
        <f>VLOOKUP(A156, user_table!$A:$B, 2, FALSE)</f>
        <v>Male</v>
      </c>
      <c r="D156" t="str">
        <f>VLOOKUP(A156, user_table!$A:$F, 5, FALSE)</f>
        <v>Tablet</v>
      </c>
      <c r="E156" t="str">
        <f>VLOOKUP(A156, user_table!$A:$F, 6, FALSE)</f>
        <v>Paid</v>
      </c>
    </row>
    <row r="157" spans="1:5">
      <c r="A157">
        <v>1409</v>
      </c>
      <c r="B157" s="2">
        <v>45308.723611111112</v>
      </c>
      <c r="C157" t="str">
        <f>VLOOKUP(A157, user_table!$A:$B, 2, FALSE)</f>
        <v>Female</v>
      </c>
      <c r="D157" t="str">
        <f>VLOOKUP(A157, user_table!$A:$F, 5, FALSE)</f>
        <v>Mobile</v>
      </c>
      <c r="E157" t="str">
        <f>VLOOKUP(A157, user_table!$A:$F, 6, FALSE)</f>
        <v>Paid</v>
      </c>
    </row>
    <row r="158" spans="1:5">
      <c r="A158">
        <v>1926</v>
      </c>
      <c r="B158" s="2">
        <v>45319.59652777778</v>
      </c>
      <c r="C158" t="str">
        <f>VLOOKUP(A158, user_table!$A:$B, 2, FALSE)</f>
        <v>Male</v>
      </c>
      <c r="D158" t="str">
        <f>VLOOKUP(A158, user_table!$A:$F, 5, FALSE)</f>
        <v>Mobile</v>
      </c>
      <c r="E158" t="str">
        <f>VLOOKUP(A158, user_table!$A:$F, 6, FALSE)</f>
        <v>Organic</v>
      </c>
    </row>
    <row r="159" spans="1:5">
      <c r="A159">
        <v>1882</v>
      </c>
      <c r="B159" s="2">
        <v>45352.370833333334</v>
      </c>
      <c r="C159" t="str">
        <f>VLOOKUP(A159, user_table!$A:$B, 2, FALSE)</f>
        <v>Female</v>
      </c>
      <c r="D159" t="str">
        <f>VLOOKUP(A159, user_table!$A:$F, 5, FALSE)</f>
        <v>Desktop</v>
      </c>
      <c r="E159" t="str">
        <f>VLOOKUP(A159, user_table!$A:$F, 6, FALSE)</f>
        <v>Organic</v>
      </c>
    </row>
    <row r="160" spans="1:5">
      <c r="A160">
        <v>1142</v>
      </c>
      <c r="B160" s="2">
        <v>45308.090277777781</v>
      </c>
      <c r="C160" t="str">
        <f>VLOOKUP(A160, user_table!$A:$B, 2, FALSE)</f>
        <v>Male</v>
      </c>
      <c r="D160" t="str">
        <f>VLOOKUP(A160, user_table!$A:$F, 5, FALSE)</f>
        <v>Tablet</v>
      </c>
      <c r="E160" t="str">
        <f>VLOOKUP(A160, user_table!$A:$F, 6, FALSE)</f>
        <v>Direct</v>
      </c>
    </row>
    <row r="161" spans="1:5">
      <c r="A161">
        <v>1522</v>
      </c>
      <c r="B161" s="2">
        <v>45380.411111111112</v>
      </c>
      <c r="C161" t="str">
        <f>VLOOKUP(A161, user_table!$A:$B, 2, FALSE)</f>
        <v>Male</v>
      </c>
      <c r="D161" t="str">
        <f>VLOOKUP(A161, user_table!$A:$F, 5, FALSE)</f>
        <v>Desktop</v>
      </c>
      <c r="E161" t="str">
        <f>VLOOKUP(A161, user_table!$A:$F, 6, FALSE)</f>
        <v>Paid</v>
      </c>
    </row>
    <row r="162" spans="1:5">
      <c r="A162">
        <v>1506</v>
      </c>
      <c r="B162" s="2">
        <v>45382.793055555558</v>
      </c>
      <c r="C162" t="str">
        <f>VLOOKUP(A162, user_table!$A:$B, 2, FALSE)</f>
        <v>Male</v>
      </c>
      <c r="D162" t="str">
        <f>VLOOKUP(A162, user_table!$A:$F, 5, FALSE)</f>
        <v>Desktop</v>
      </c>
      <c r="E162" t="str">
        <f>VLOOKUP(A162, user_table!$A:$F, 6, FALSE)</f>
        <v>Organic</v>
      </c>
    </row>
    <row r="163" spans="1:5">
      <c r="A163">
        <v>1094</v>
      </c>
      <c r="B163" s="2">
        <v>45320.42291666667</v>
      </c>
      <c r="C163" t="str">
        <f>VLOOKUP(A163, user_table!$A:$B, 2, FALSE)</f>
        <v>Female</v>
      </c>
      <c r="D163" t="str">
        <f>VLOOKUP(A163, user_table!$A:$F, 5, FALSE)</f>
        <v>Desktop</v>
      </c>
      <c r="E163" t="str">
        <f>VLOOKUP(A163, user_table!$A:$F, 6, FALSE)</f>
        <v>Organic</v>
      </c>
    </row>
    <row r="164" spans="1:5">
      <c r="A164">
        <v>1774</v>
      </c>
      <c r="B164" s="2">
        <v>45304.927083333336</v>
      </c>
      <c r="C164" t="str">
        <f>VLOOKUP(A164, user_table!$A:$B, 2, FALSE)</f>
        <v>Male</v>
      </c>
      <c r="D164" t="str">
        <f>VLOOKUP(A164, user_table!$A:$F, 5, FALSE)</f>
        <v>Desktop</v>
      </c>
      <c r="E164" t="str">
        <f>VLOOKUP(A164, user_table!$A:$F, 6, FALSE)</f>
        <v>Organic</v>
      </c>
    </row>
    <row r="165" spans="1:5">
      <c r="A165">
        <v>1049</v>
      </c>
      <c r="B165" s="2">
        <v>45338.522222222222</v>
      </c>
      <c r="C165" t="str">
        <f>VLOOKUP(A165, user_table!$A:$B, 2, FALSE)</f>
        <v>Female</v>
      </c>
      <c r="D165" t="str">
        <f>VLOOKUP(A165, user_table!$A:$F, 5, FALSE)</f>
        <v>Mobile</v>
      </c>
      <c r="E165" t="str">
        <f>VLOOKUP(A165, user_table!$A:$F, 6, FALSE)</f>
        <v>Organic</v>
      </c>
    </row>
    <row r="166" spans="1:5">
      <c r="A166">
        <v>1113</v>
      </c>
      <c r="B166" s="2">
        <v>45299.888194444444</v>
      </c>
      <c r="C166" t="str">
        <f>VLOOKUP(A166, user_table!$A:$B, 2, FALSE)</f>
        <v>Female</v>
      </c>
      <c r="D166" t="str">
        <f>VLOOKUP(A166, user_table!$A:$F, 5, FALSE)</f>
        <v>Mobile</v>
      </c>
      <c r="E166" t="str">
        <f>VLOOKUP(A166, user_table!$A:$F, 6, FALSE)</f>
        <v>Social</v>
      </c>
    </row>
    <row r="167" spans="1:5">
      <c r="A167">
        <v>1157</v>
      </c>
      <c r="B167" s="2">
        <v>45326.209027777775</v>
      </c>
      <c r="C167" t="str">
        <f>VLOOKUP(A167, user_table!$A:$B, 2, FALSE)</f>
        <v>Female</v>
      </c>
      <c r="D167" t="str">
        <f>VLOOKUP(A167, user_table!$A:$F, 5, FALSE)</f>
        <v>Desktop</v>
      </c>
      <c r="E167" t="str">
        <f>VLOOKUP(A167, user_table!$A:$F, 6, FALSE)</f>
        <v>Email</v>
      </c>
    </row>
    <row r="168" spans="1:5">
      <c r="A168">
        <v>1643</v>
      </c>
      <c r="B168" s="2">
        <v>45344.607638888891</v>
      </c>
      <c r="C168" t="str">
        <f>VLOOKUP(A168, user_table!$A:$B, 2, FALSE)</f>
        <v>Male</v>
      </c>
      <c r="D168" t="str">
        <f>VLOOKUP(A168, user_table!$A:$F, 5, FALSE)</f>
        <v>Desktop</v>
      </c>
      <c r="E168" t="str">
        <f>VLOOKUP(A168, user_table!$A:$F, 6, FALSE)</f>
        <v>Email</v>
      </c>
    </row>
    <row r="169" spans="1:5">
      <c r="A169">
        <v>1959</v>
      </c>
      <c r="B169" s="2">
        <v>45363.29583333333</v>
      </c>
      <c r="C169" t="str">
        <f>VLOOKUP(A169, user_table!$A:$B, 2, FALSE)</f>
        <v>Male</v>
      </c>
      <c r="D169" t="str">
        <f>VLOOKUP(A169, user_table!$A:$F, 5, FALSE)</f>
        <v>Mobile</v>
      </c>
      <c r="E169" t="str">
        <f>VLOOKUP(A169, user_table!$A:$F, 6, FALSE)</f>
        <v>Email</v>
      </c>
    </row>
    <row r="170" spans="1:5">
      <c r="A170">
        <v>1812</v>
      </c>
      <c r="B170" s="2">
        <v>45352.160416666666</v>
      </c>
      <c r="C170" t="str">
        <f>VLOOKUP(A170, user_table!$A:$B, 2, FALSE)</f>
        <v>Female</v>
      </c>
      <c r="D170" t="str">
        <f>VLOOKUP(A170, user_table!$A:$F, 5, FALSE)</f>
        <v>Mobile</v>
      </c>
      <c r="E170" t="str">
        <f>VLOOKUP(A170, user_table!$A:$F, 6, FALSE)</f>
        <v>Paid</v>
      </c>
    </row>
    <row r="171" spans="1:5">
      <c r="A171">
        <v>1697</v>
      </c>
      <c r="B171" s="2">
        <v>45310.125</v>
      </c>
      <c r="C171" t="str">
        <f>VLOOKUP(A171, user_table!$A:$B, 2, FALSE)</f>
        <v>Male</v>
      </c>
      <c r="D171" t="str">
        <f>VLOOKUP(A171, user_table!$A:$F, 5, FALSE)</f>
        <v>Mobile</v>
      </c>
      <c r="E171" t="str">
        <f>VLOOKUP(A171, user_table!$A:$F, 6, FALSE)</f>
        <v>Social</v>
      </c>
    </row>
    <row r="172" spans="1:5">
      <c r="A172">
        <v>1957</v>
      </c>
      <c r="B172" s="2">
        <v>45300.297222222223</v>
      </c>
      <c r="C172" t="str">
        <f>VLOOKUP(A172, user_table!$A:$B, 2, FALSE)</f>
        <v>Male</v>
      </c>
      <c r="D172" t="str">
        <f>VLOOKUP(A172, user_table!$A:$F, 5, FALSE)</f>
        <v>Mobile</v>
      </c>
      <c r="E172" t="str">
        <f>VLOOKUP(A172, user_table!$A:$F, 6, FALSE)</f>
        <v>Paid</v>
      </c>
    </row>
    <row r="173" spans="1:5">
      <c r="A173">
        <v>1611</v>
      </c>
      <c r="B173" s="2">
        <v>45318.515972222223</v>
      </c>
      <c r="C173" t="str">
        <f>VLOOKUP(A173, user_table!$A:$B, 2, FALSE)</f>
        <v>Male</v>
      </c>
      <c r="D173" t="str">
        <f>VLOOKUP(A173, user_table!$A:$F, 5, FALSE)</f>
        <v>Mobile</v>
      </c>
      <c r="E173" t="str">
        <f>VLOOKUP(A173, user_table!$A:$F, 6, FALSE)</f>
        <v>Organic</v>
      </c>
    </row>
    <row r="174" spans="1:5">
      <c r="A174">
        <v>1066</v>
      </c>
      <c r="B174" s="2">
        <v>45380.861805555556</v>
      </c>
      <c r="C174" t="str">
        <f>VLOOKUP(A174, user_table!$A:$B, 2, FALSE)</f>
        <v>Female</v>
      </c>
      <c r="D174" t="str">
        <f>VLOOKUP(A174, user_table!$A:$F, 5, FALSE)</f>
        <v>Desktop</v>
      </c>
      <c r="E174" t="str">
        <f>VLOOKUP(A174, user_table!$A:$F, 6, FALSE)</f>
        <v>Organic</v>
      </c>
    </row>
    <row r="175" spans="1:5">
      <c r="A175">
        <v>1395</v>
      </c>
      <c r="B175" s="2">
        <v>45303.775694444441</v>
      </c>
      <c r="C175" t="str">
        <f>VLOOKUP(A175, user_table!$A:$B, 2, FALSE)</f>
        <v>Male</v>
      </c>
      <c r="D175" t="str">
        <f>VLOOKUP(A175, user_table!$A:$F, 5, FALSE)</f>
        <v>Mobile</v>
      </c>
      <c r="E175" t="str">
        <f>VLOOKUP(A175, user_table!$A:$F, 6, FALSE)</f>
        <v>Email</v>
      </c>
    </row>
    <row r="176" spans="1:5">
      <c r="A176">
        <v>1391</v>
      </c>
      <c r="B176" s="2">
        <v>45326.084027777775</v>
      </c>
      <c r="C176" t="str">
        <f>VLOOKUP(A176, user_table!$A:$B, 2, FALSE)</f>
        <v>Female</v>
      </c>
      <c r="D176" t="str">
        <f>VLOOKUP(A176, user_table!$A:$F, 5, FALSE)</f>
        <v>Desktop</v>
      </c>
      <c r="E176" t="str">
        <f>VLOOKUP(A176, user_table!$A:$F, 6, FALSE)</f>
        <v>Email</v>
      </c>
    </row>
    <row r="177" spans="1:5">
      <c r="A177">
        <v>1964</v>
      </c>
      <c r="B177" s="2">
        <v>45301.289583333331</v>
      </c>
      <c r="C177" t="str">
        <f>VLOOKUP(A177, user_table!$A:$B, 2, FALSE)</f>
        <v>Male</v>
      </c>
      <c r="D177" t="str">
        <f>VLOOKUP(A177, user_table!$A:$F, 5, FALSE)</f>
        <v>Desktop</v>
      </c>
      <c r="E177" t="str">
        <f>VLOOKUP(A177, user_table!$A:$F, 6, FALSE)</f>
        <v>Social</v>
      </c>
    </row>
    <row r="178" spans="1:5">
      <c r="A178">
        <v>1480</v>
      </c>
      <c r="B178" s="2">
        <v>45375.618750000001</v>
      </c>
      <c r="C178" t="str">
        <f>VLOOKUP(A178, user_table!$A:$B, 2, FALSE)</f>
        <v>Female</v>
      </c>
      <c r="D178" t="str">
        <f>VLOOKUP(A178, user_table!$A:$F, 5, FALSE)</f>
        <v>Tablet</v>
      </c>
      <c r="E178" t="str">
        <f>VLOOKUP(A178, user_table!$A:$F, 6, FALSE)</f>
        <v>Organic</v>
      </c>
    </row>
    <row r="179" spans="1:5">
      <c r="A179">
        <v>1542</v>
      </c>
      <c r="B179" s="2">
        <v>45309.122916666667</v>
      </c>
      <c r="C179" t="str">
        <f>VLOOKUP(A179, user_table!$A:$B, 2, FALSE)</f>
        <v>Female</v>
      </c>
      <c r="D179" t="str">
        <f>VLOOKUP(A179, user_table!$A:$F, 5, FALSE)</f>
        <v>Tablet</v>
      </c>
      <c r="E179" t="str">
        <f>VLOOKUP(A179, user_table!$A:$F, 6, FALSE)</f>
        <v>Direct</v>
      </c>
    </row>
    <row r="180" spans="1:5">
      <c r="A180">
        <v>1258</v>
      </c>
      <c r="B180" s="2">
        <v>45335.126388888886</v>
      </c>
      <c r="C180" t="str">
        <f>VLOOKUP(A180, user_table!$A:$B, 2, FALSE)</f>
        <v>Female</v>
      </c>
      <c r="D180" t="str">
        <f>VLOOKUP(A180, user_table!$A:$F, 5, FALSE)</f>
        <v>Desktop</v>
      </c>
      <c r="E180" t="str">
        <f>VLOOKUP(A180, user_table!$A:$F, 6, FALSE)</f>
        <v>Email</v>
      </c>
    </row>
    <row r="181" spans="1:5">
      <c r="A181">
        <v>1567</v>
      </c>
      <c r="B181" s="2">
        <v>45352.048611111109</v>
      </c>
      <c r="C181" t="str">
        <f>VLOOKUP(A181, user_table!$A:$B, 2, FALSE)</f>
        <v>Male</v>
      </c>
      <c r="D181" t="str">
        <f>VLOOKUP(A181, user_table!$A:$F, 5, FALSE)</f>
        <v>Desktop</v>
      </c>
      <c r="E181" t="str">
        <f>VLOOKUP(A181, user_table!$A:$F, 6, FALSE)</f>
        <v>Paid</v>
      </c>
    </row>
    <row r="182" spans="1:5">
      <c r="A182">
        <v>1012</v>
      </c>
      <c r="B182" s="2">
        <v>45366.577777777777</v>
      </c>
      <c r="C182" t="str">
        <f>VLOOKUP(A182, user_table!$A:$B, 2, FALSE)</f>
        <v>Female</v>
      </c>
      <c r="D182" t="str">
        <f>VLOOKUP(A182, user_table!$A:$F, 5, FALSE)</f>
        <v>Desktop</v>
      </c>
      <c r="E182" t="str">
        <f>VLOOKUP(A182, user_table!$A:$F, 6, FALSE)</f>
        <v>Organic</v>
      </c>
    </row>
    <row r="183" spans="1:5">
      <c r="A183">
        <v>1831</v>
      </c>
      <c r="B183" s="2">
        <v>45343.625694444447</v>
      </c>
      <c r="C183" t="str">
        <f>VLOOKUP(A183, user_table!$A:$B, 2, FALSE)</f>
        <v>Male</v>
      </c>
      <c r="D183" t="str">
        <f>VLOOKUP(A183, user_table!$A:$F, 5, FALSE)</f>
        <v>Tablet</v>
      </c>
      <c r="E183" t="str">
        <f>VLOOKUP(A183, user_table!$A:$F, 6, FALSE)</f>
        <v>Social</v>
      </c>
    </row>
    <row r="184" spans="1:5">
      <c r="A184">
        <v>1739</v>
      </c>
      <c r="B184" s="2">
        <v>45341.893750000003</v>
      </c>
      <c r="C184" t="str">
        <f>VLOOKUP(A184, user_table!$A:$B, 2, FALSE)</f>
        <v>Male</v>
      </c>
      <c r="D184" t="str">
        <f>VLOOKUP(A184, user_table!$A:$F, 5, FALSE)</f>
        <v>Desktop</v>
      </c>
      <c r="E184" t="str">
        <f>VLOOKUP(A184, user_table!$A:$F, 6, FALSE)</f>
        <v>Organic</v>
      </c>
    </row>
    <row r="185" spans="1:5">
      <c r="A185">
        <v>1118</v>
      </c>
      <c r="B185" s="2">
        <v>45315.467361111114</v>
      </c>
      <c r="C185" t="str">
        <f>VLOOKUP(A185, user_table!$A:$B, 2, FALSE)</f>
        <v>Male</v>
      </c>
      <c r="D185" t="str">
        <f>VLOOKUP(A185, user_table!$A:$F, 5, FALSE)</f>
        <v>Desktop</v>
      </c>
      <c r="E185" t="str">
        <f>VLOOKUP(A185, user_table!$A:$F, 6, FALSE)</f>
        <v>Email</v>
      </c>
    </row>
    <row r="186" spans="1:5">
      <c r="A186">
        <v>1699</v>
      </c>
      <c r="B186" s="2">
        <v>45316.345138888886</v>
      </c>
      <c r="C186" t="str">
        <f>VLOOKUP(A186, user_table!$A:$B, 2, FALSE)</f>
        <v>Male</v>
      </c>
      <c r="D186" t="str">
        <f>VLOOKUP(A186, user_table!$A:$F, 5, FALSE)</f>
        <v>Mobile</v>
      </c>
      <c r="E186" t="str">
        <f>VLOOKUP(A186, user_table!$A:$F, 6, FALSE)</f>
        <v>Organic</v>
      </c>
    </row>
    <row r="187" spans="1:5">
      <c r="A187">
        <v>1937</v>
      </c>
      <c r="B187" s="2">
        <v>45350.168055555558</v>
      </c>
      <c r="C187" t="str">
        <f>VLOOKUP(A187, user_table!$A:$B, 2, FALSE)</f>
        <v>Male</v>
      </c>
      <c r="D187" t="str">
        <f>VLOOKUP(A187, user_table!$A:$F, 5, FALSE)</f>
        <v>Desktop</v>
      </c>
      <c r="E187" t="str">
        <f>VLOOKUP(A187, user_table!$A:$F, 6, FALSE)</f>
        <v>Paid</v>
      </c>
    </row>
    <row r="188" spans="1:5">
      <c r="A188">
        <v>1769</v>
      </c>
      <c r="B188" s="2">
        <v>45371.818749999999</v>
      </c>
      <c r="C188" t="str">
        <f>VLOOKUP(A188, user_table!$A:$B, 2, FALSE)</f>
        <v>Male</v>
      </c>
      <c r="D188" t="str">
        <f>VLOOKUP(A188, user_table!$A:$F, 5, FALSE)</f>
        <v>Mobile</v>
      </c>
      <c r="E188" t="str">
        <f>VLOOKUP(A188, user_table!$A:$F, 6, FALSE)</f>
        <v>Social</v>
      </c>
    </row>
    <row r="189" spans="1:5">
      <c r="A189">
        <v>1900</v>
      </c>
      <c r="B189" s="2">
        <v>45324.845833333333</v>
      </c>
      <c r="C189" t="str">
        <f>VLOOKUP(A189, user_table!$A:$B, 2, FALSE)</f>
        <v>Male</v>
      </c>
      <c r="D189" t="str">
        <f>VLOOKUP(A189, user_table!$A:$F, 5, FALSE)</f>
        <v>Mobile</v>
      </c>
      <c r="E189" t="str">
        <f>VLOOKUP(A189, user_table!$A:$F, 6, FALSE)</f>
        <v>Organic</v>
      </c>
    </row>
    <row r="190" spans="1:5">
      <c r="A190">
        <v>1788</v>
      </c>
      <c r="B190" s="2">
        <v>45356.580555555556</v>
      </c>
      <c r="C190" t="str">
        <f>VLOOKUP(A190, user_table!$A:$B, 2, FALSE)</f>
        <v>Male</v>
      </c>
      <c r="D190" t="str">
        <f>VLOOKUP(A190, user_table!$A:$F, 5, FALSE)</f>
        <v>Desktop</v>
      </c>
      <c r="E190" t="str">
        <f>VLOOKUP(A190, user_table!$A:$F, 6, FALSE)</f>
        <v>Social</v>
      </c>
    </row>
    <row r="191" spans="1:5">
      <c r="A191">
        <v>1657</v>
      </c>
      <c r="B191" s="2">
        <v>45363.627083333333</v>
      </c>
      <c r="C191" t="str">
        <f>VLOOKUP(A191, user_table!$A:$B, 2, FALSE)</f>
        <v>Male</v>
      </c>
      <c r="D191" t="str">
        <f>VLOOKUP(A191, user_table!$A:$F, 5, FALSE)</f>
        <v>Mobile</v>
      </c>
      <c r="E191" t="str">
        <f>VLOOKUP(A191, user_table!$A:$F, 6, FALSE)</f>
        <v>Paid</v>
      </c>
    </row>
    <row r="192" spans="1:5">
      <c r="A192">
        <v>1956</v>
      </c>
      <c r="B192" s="2">
        <v>45304.35</v>
      </c>
      <c r="C192" t="str">
        <f>VLOOKUP(A192, user_table!$A:$B, 2, FALSE)</f>
        <v>Male</v>
      </c>
      <c r="D192" t="str">
        <f>VLOOKUP(A192, user_table!$A:$F, 5, FALSE)</f>
        <v>Mobile</v>
      </c>
      <c r="E192" t="str">
        <f>VLOOKUP(A192, user_table!$A:$F, 6, FALSE)</f>
        <v>Email</v>
      </c>
    </row>
    <row r="193" spans="1:5">
      <c r="A193">
        <v>1999</v>
      </c>
      <c r="B193" s="2">
        <v>45310.55</v>
      </c>
      <c r="C193" t="str">
        <f>VLOOKUP(A193, user_table!$A:$B, 2, FALSE)</f>
        <v>Female</v>
      </c>
      <c r="D193" t="str">
        <f>VLOOKUP(A193, user_table!$A:$F, 5, FALSE)</f>
        <v>Mobile</v>
      </c>
      <c r="E193" t="str">
        <f>VLOOKUP(A193, user_table!$A:$F, 6, FALSE)</f>
        <v>Paid</v>
      </c>
    </row>
    <row r="194" spans="1:5">
      <c r="A194">
        <v>1932</v>
      </c>
      <c r="B194" s="2">
        <v>45375.677083333336</v>
      </c>
      <c r="C194" t="str">
        <f>VLOOKUP(A194, user_table!$A:$B, 2, FALSE)</f>
        <v>Female</v>
      </c>
      <c r="D194" t="str">
        <f>VLOOKUP(A194, user_table!$A:$F, 5, FALSE)</f>
        <v>Mobile</v>
      </c>
      <c r="E194" t="str">
        <f>VLOOKUP(A194, user_table!$A:$F, 6, FALSE)</f>
        <v>Paid</v>
      </c>
    </row>
    <row r="195" spans="1:5">
      <c r="A195">
        <v>1446</v>
      </c>
      <c r="B195" s="2">
        <v>45373.743055555555</v>
      </c>
      <c r="C195" t="str">
        <f>VLOOKUP(A195, user_table!$A:$B, 2, FALSE)</f>
        <v>Female</v>
      </c>
      <c r="D195" t="str">
        <f>VLOOKUP(A195, user_table!$A:$F, 5, FALSE)</f>
        <v>Desktop</v>
      </c>
      <c r="E195" t="str">
        <f>VLOOKUP(A195, user_table!$A:$F, 6, FALSE)</f>
        <v>Organic</v>
      </c>
    </row>
    <row r="196" spans="1:5">
      <c r="A196">
        <v>1162</v>
      </c>
      <c r="B196" s="2">
        <v>45295.534722222219</v>
      </c>
      <c r="C196" t="str">
        <f>VLOOKUP(A196, user_table!$A:$B, 2, FALSE)</f>
        <v>Female</v>
      </c>
      <c r="D196" t="str">
        <f>VLOOKUP(A196, user_table!$A:$F, 5, FALSE)</f>
        <v>Desktop</v>
      </c>
      <c r="E196" t="str">
        <f>VLOOKUP(A196, user_table!$A:$F, 6, FALSE)</f>
        <v>Paid</v>
      </c>
    </row>
    <row r="197" spans="1:5">
      <c r="A197">
        <v>1909</v>
      </c>
      <c r="B197" s="2">
        <v>45338.648611111108</v>
      </c>
      <c r="C197" t="str">
        <f>VLOOKUP(A197, user_table!$A:$B, 2, FALSE)</f>
        <v>Male</v>
      </c>
      <c r="D197" t="str">
        <f>VLOOKUP(A197, user_table!$A:$F, 5, FALSE)</f>
        <v>Desktop</v>
      </c>
      <c r="E197" t="str">
        <f>VLOOKUP(A197, user_table!$A:$F, 6, FALSE)</f>
        <v>Paid</v>
      </c>
    </row>
    <row r="198" spans="1:5">
      <c r="A198">
        <v>1004</v>
      </c>
      <c r="B198" s="2">
        <v>45355.498611111114</v>
      </c>
      <c r="C198" t="str">
        <f>VLOOKUP(A198, user_table!$A:$B, 2, FALSE)</f>
        <v>Female</v>
      </c>
      <c r="D198" t="str">
        <f>VLOOKUP(A198, user_table!$A:$F, 5, FALSE)</f>
        <v>Desktop</v>
      </c>
      <c r="E198" t="str">
        <f>VLOOKUP(A198, user_table!$A:$F, 6, FALSE)</f>
        <v>Paid</v>
      </c>
    </row>
    <row r="199" spans="1:5">
      <c r="A199">
        <v>1740</v>
      </c>
      <c r="B199" s="2">
        <v>45365.680555555555</v>
      </c>
      <c r="C199" t="str">
        <f>VLOOKUP(A199, user_table!$A:$B, 2, FALSE)</f>
        <v>Male</v>
      </c>
      <c r="D199" t="str">
        <f>VLOOKUP(A199, user_table!$A:$F, 5, FALSE)</f>
        <v>Desktop</v>
      </c>
      <c r="E199" t="str">
        <f>VLOOKUP(A199, user_table!$A:$F, 6, FALSE)</f>
        <v>Paid</v>
      </c>
    </row>
    <row r="200" spans="1:5">
      <c r="A200">
        <v>1737</v>
      </c>
      <c r="B200" s="2">
        <v>45342.34097222222</v>
      </c>
      <c r="C200" t="str">
        <f>VLOOKUP(A200, user_table!$A:$B, 2, FALSE)</f>
        <v>Male</v>
      </c>
      <c r="D200" t="str">
        <f>VLOOKUP(A200, user_table!$A:$F, 5, FALSE)</f>
        <v>Desktop</v>
      </c>
      <c r="E200" t="str">
        <f>VLOOKUP(A200, user_table!$A:$F, 6, FALSE)</f>
        <v>Organic</v>
      </c>
    </row>
    <row r="201" spans="1:5">
      <c r="A201">
        <v>1931</v>
      </c>
      <c r="B201" s="2">
        <v>45296.443055555559</v>
      </c>
      <c r="C201" t="str">
        <f>VLOOKUP(A201, user_table!$A:$B, 2, FALSE)</f>
        <v>Male</v>
      </c>
      <c r="D201" t="str">
        <f>VLOOKUP(A201, user_table!$A:$F, 5, FALSE)</f>
        <v>Mobile</v>
      </c>
      <c r="E201" t="str">
        <f>VLOOKUP(A201, user_table!$A:$F, 6, FALSE)</f>
        <v>Paid</v>
      </c>
    </row>
    <row r="202" spans="1:5">
      <c r="A202">
        <v>1513</v>
      </c>
      <c r="B202" s="2">
        <v>45321.039583333331</v>
      </c>
      <c r="C202" t="str">
        <f>VLOOKUP(A202, user_table!$A:$B, 2, FALSE)</f>
        <v>Female</v>
      </c>
      <c r="D202" t="str">
        <f>VLOOKUP(A202, user_table!$A:$F, 5, FALSE)</f>
        <v>Desktop</v>
      </c>
      <c r="E202" t="str">
        <f>VLOOKUP(A202, user_table!$A:$F, 6, FALSE)</f>
        <v>Email</v>
      </c>
    </row>
    <row r="203" spans="1:5">
      <c r="A203">
        <v>1781</v>
      </c>
      <c r="B203" s="2">
        <v>45328.07708333333</v>
      </c>
      <c r="C203" t="str">
        <f>VLOOKUP(A203, user_table!$A:$B, 2, FALSE)</f>
        <v>Female</v>
      </c>
      <c r="D203" t="str">
        <f>VLOOKUP(A203, user_table!$A:$F, 5, FALSE)</f>
        <v>Desktop</v>
      </c>
      <c r="E203" t="str">
        <f>VLOOKUP(A203, user_table!$A:$F, 6, FALSE)</f>
        <v>Organic</v>
      </c>
    </row>
    <row r="204" spans="1:5">
      <c r="A204">
        <v>1183</v>
      </c>
      <c r="B204" s="2">
        <v>45353.681944444441</v>
      </c>
      <c r="C204" t="str">
        <f>VLOOKUP(A204, user_table!$A:$B, 2, FALSE)</f>
        <v>Female</v>
      </c>
      <c r="D204" t="str">
        <f>VLOOKUP(A204, user_table!$A:$F, 5, FALSE)</f>
        <v>Mobile</v>
      </c>
      <c r="E204" t="str">
        <f>VLOOKUP(A204, user_table!$A:$F, 6, FALSE)</f>
        <v>Organic</v>
      </c>
    </row>
    <row r="205" spans="1:5">
      <c r="A205">
        <v>1520</v>
      </c>
      <c r="B205" s="2">
        <v>45367.298611111109</v>
      </c>
      <c r="C205" t="str">
        <f>VLOOKUP(A205, user_table!$A:$B, 2, FALSE)</f>
        <v>Male</v>
      </c>
      <c r="D205" t="str">
        <f>VLOOKUP(A205, user_table!$A:$F, 5, FALSE)</f>
        <v>Desktop</v>
      </c>
      <c r="E205" t="str">
        <f>VLOOKUP(A205, user_table!$A:$F, 6, FALSE)</f>
        <v>Social</v>
      </c>
    </row>
    <row r="206" spans="1:5">
      <c r="A206">
        <v>1109</v>
      </c>
      <c r="B206" s="2">
        <v>45305.320833333331</v>
      </c>
      <c r="C206" t="str">
        <f>VLOOKUP(A206, user_table!$A:$B, 2, FALSE)</f>
        <v>Male</v>
      </c>
      <c r="D206" t="str">
        <f>VLOOKUP(A206, user_table!$A:$F, 5, FALSE)</f>
        <v>Desktop</v>
      </c>
      <c r="E206" t="str">
        <f>VLOOKUP(A206, user_table!$A:$F, 6, FALSE)</f>
        <v>Paid</v>
      </c>
    </row>
    <row r="207" spans="1:5">
      <c r="A207">
        <v>1641</v>
      </c>
      <c r="B207" s="2">
        <v>45323.356944444444</v>
      </c>
      <c r="C207" t="str">
        <f>VLOOKUP(A207, user_table!$A:$B, 2, FALSE)</f>
        <v>Male</v>
      </c>
      <c r="D207" t="str">
        <f>VLOOKUP(A207, user_table!$A:$F, 5, FALSE)</f>
        <v>Mobile</v>
      </c>
      <c r="E207" t="str">
        <f>VLOOKUP(A207, user_table!$A:$F, 6, FALSE)</f>
        <v>Email</v>
      </c>
    </row>
    <row r="208" spans="1:5">
      <c r="A208">
        <v>1306</v>
      </c>
      <c r="B208" s="2">
        <v>45300.316666666666</v>
      </c>
      <c r="C208" t="str">
        <f>VLOOKUP(A208, user_table!$A:$B, 2, FALSE)</f>
        <v>Female</v>
      </c>
      <c r="D208" t="str">
        <f>VLOOKUP(A208, user_table!$A:$F, 5, FALSE)</f>
        <v>Mobile</v>
      </c>
      <c r="E208" t="str">
        <f>VLOOKUP(A208, user_table!$A:$F, 6, FALSE)</f>
        <v>Organic</v>
      </c>
    </row>
    <row r="209" spans="1:5">
      <c r="A209">
        <v>2000</v>
      </c>
      <c r="B209" s="2">
        <v>45342.499305555553</v>
      </c>
      <c r="C209" t="str">
        <f>VLOOKUP(A209, user_table!$A:$B, 2, FALSE)</f>
        <v>Male</v>
      </c>
      <c r="D209" t="str">
        <f>VLOOKUP(A209, user_table!$A:$F, 5, FALSE)</f>
        <v>Mobile</v>
      </c>
      <c r="E209" t="str">
        <f>VLOOKUP(A209, user_table!$A:$F, 6, FALSE)</f>
        <v>Social</v>
      </c>
    </row>
    <row r="210" spans="1:5">
      <c r="A210">
        <v>1797</v>
      </c>
      <c r="B210" s="2">
        <v>45315.21875</v>
      </c>
      <c r="C210" t="str">
        <f>VLOOKUP(A210, user_table!$A:$B, 2, FALSE)</f>
        <v>Female</v>
      </c>
      <c r="D210" t="str">
        <f>VLOOKUP(A210, user_table!$A:$F, 5, FALSE)</f>
        <v>Mobile</v>
      </c>
      <c r="E210" t="str">
        <f>VLOOKUP(A210, user_table!$A:$F, 6, FALSE)</f>
        <v>Paid</v>
      </c>
    </row>
    <row r="211" spans="1:5">
      <c r="A211">
        <v>1895</v>
      </c>
      <c r="B211" s="2">
        <v>45368.45208333333</v>
      </c>
      <c r="C211" t="str">
        <f>VLOOKUP(A211, user_table!$A:$B, 2, FALSE)</f>
        <v>Female</v>
      </c>
      <c r="D211" t="str">
        <f>VLOOKUP(A211, user_table!$A:$F, 5, FALSE)</f>
        <v>Desktop</v>
      </c>
      <c r="E211" t="str">
        <f>VLOOKUP(A211, user_table!$A:$F, 6, FALSE)</f>
        <v>Social</v>
      </c>
    </row>
    <row r="212" spans="1:5">
      <c r="A212">
        <v>1974</v>
      </c>
      <c r="B212" s="2">
        <v>45382.498611111114</v>
      </c>
      <c r="C212" t="str">
        <f>VLOOKUP(A212, user_table!$A:$B, 2, FALSE)</f>
        <v>Male</v>
      </c>
      <c r="D212" t="str">
        <f>VLOOKUP(A212, user_table!$A:$F, 5, FALSE)</f>
        <v>Desktop</v>
      </c>
      <c r="E212" t="str">
        <f>VLOOKUP(A212, user_table!$A:$F, 6, FALSE)</f>
        <v>Direct</v>
      </c>
    </row>
    <row r="213" spans="1:5">
      <c r="A213">
        <v>1835</v>
      </c>
      <c r="B213" s="2">
        <v>45368.03125</v>
      </c>
      <c r="C213" t="str">
        <f>VLOOKUP(A213, user_table!$A:$B, 2, FALSE)</f>
        <v>Male</v>
      </c>
      <c r="D213" t="str">
        <f>VLOOKUP(A213, user_table!$A:$F, 5, FALSE)</f>
        <v>Tablet</v>
      </c>
      <c r="E213" t="str">
        <f>VLOOKUP(A213, user_table!$A:$F, 6, FALSE)</f>
        <v>Paid</v>
      </c>
    </row>
    <row r="214" spans="1:5">
      <c r="A214">
        <v>1383</v>
      </c>
      <c r="B214" s="2">
        <v>45382.48333333333</v>
      </c>
      <c r="C214" t="str">
        <f>VLOOKUP(A214, user_table!$A:$B, 2, FALSE)</f>
        <v>Female</v>
      </c>
      <c r="D214" t="str">
        <f>VLOOKUP(A214, user_table!$A:$F, 5, FALSE)</f>
        <v>Mobile</v>
      </c>
      <c r="E214" t="str">
        <f>VLOOKUP(A214, user_table!$A:$F, 6, FALSE)</f>
        <v>Paid</v>
      </c>
    </row>
    <row r="215" spans="1:5">
      <c r="A215">
        <v>1799</v>
      </c>
      <c r="B215" s="2">
        <v>45365.191666666666</v>
      </c>
      <c r="C215" t="str">
        <f>VLOOKUP(A215, user_table!$A:$B, 2, FALSE)</f>
        <v>Female</v>
      </c>
      <c r="D215" t="str">
        <f>VLOOKUP(A215, user_table!$A:$F, 5, FALSE)</f>
        <v>Desktop</v>
      </c>
      <c r="E215" t="str">
        <f>VLOOKUP(A215, user_table!$A:$F, 6, FALSE)</f>
        <v>Paid</v>
      </c>
    </row>
    <row r="216" spans="1:5">
      <c r="A216">
        <v>1166</v>
      </c>
      <c r="B216" s="2">
        <v>45317.648611111108</v>
      </c>
      <c r="C216" t="str">
        <f>VLOOKUP(A216, user_table!$A:$B, 2, FALSE)</f>
        <v>Female</v>
      </c>
      <c r="D216" t="str">
        <f>VLOOKUP(A216, user_table!$A:$F, 5, FALSE)</f>
        <v>Desktop</v>
      </c>
      <c r="E216" t="str">
        <f>VLOOKUP(A216, user_table!$A:$F, 6, FALSE)</f>
        <v>Paid</v>
      </c>
    </row>
    <row r="217" spans="1:5">
      <c r="A217">
        <v>1553</v>
      </c>
      <c r="B217" s="2">
        <v>45332.229861111111</v>
      </c>
      <c r="C217" t="str">
        <f>VLOOKUP(A217, user_table!$A:$B, 2, FALSE)</f>
        <v>Female</v>
      </c>
      <c r="D217" t="str">
        <f>VLOOKUP(A217, user_table!$A:$F, 5, FALSE)</f>
        <v>Desktop</v>
      </c>
      <c r="E217" t="str">
        <f>VLOOKUP(A217, user_table!$A:$F, 6, FALSE)</f>
        <v>Social</v>
      </c>
    </row>
    <row r="218" spans="1:5">
      <c r="A218">
        <v>1544</v>
      </c>
      <c r="B218" s="2">
        <v>45297.085416666669</v>
      </c>
      <c r="C218" t="str">
        <f>VLOOKUP(A218, user_table!$A:$B, 2, FALSE)</f>
        <v>Female</v>
      </c>
      <c r="D218" t="str">
        <f>VLOOKUP(A218, user_table!$A:$F, 5, FALSE)</f>
        <v>Mobile</v>
      </c>
      <c r="E218" t="str">
        <f>VLOOKUP(A218, user_table!$A:$F, 6, FALSE)</f>
        <v>Paid</v>
      </c>
    </row>
    <row r="219" spans="1:5">
      <c r="A219">
        <v>1001</v>
      </c>
      <c r="B219" s="2">
        <v>45322.801388888889</v>
      </c>
      <c r="C219" t="str">
        <f>VLOOKUP(A219, user_table!$A:$B, 2, FALSE)</f>
        <v>Male</v>
      </c>
      <c r="D219" t="str">
        <f>VLOOKUP(A219, user_table!$A:$F, 5, FALSE)</f>
        <v>Desktop</v>
      </c>
      <c r="E219" t="str">
        <f>VLOOKUP(A219, user_table!$A:$F, 6, FALSE)</f>
        <v>Organic</v>
      </c>
    </row>
    <row r="220" spans="1:5">
      <c r="A220">
        <v>1614</v>
      </c>
      <c r="B220" s="2">
        <v>45295.6875</v>
      </c>
      <c r="C220" t="str">
        <f>VLOOKUP(A220, user_table!$A:$B, 2, FALSE)</f>
        <v>Male</v>
      </c>
      <c r="D220" t="str">
        <f>VLOOKUP(A220, user_table!$A:$F, 5, FALSE)</f>
        <v>Mobile</v>
      </c>
      <c r="E220" t="str">
        <f>VLOOKUP(A220, user_table!$A:$F, 6, FALSE)</f>
        <v>Social</v>
      </c>
    </row>
    <row r="221" spans="1:5">
      <c r="A221">
        <v>1332</v>
      </c>
      <c r="B221" s="2">
        <v>45293.456944444442</v>
      </c>
      <c r="C221" t="str">
        <f>VLOOKUP(A221, user_table!$A:$B, 2, FALSE)</f>
        <v>Female</v>
      </c>
      <c r="D221" t="str">
        <f>VLOOKUP(A221, user_table!$A:$F, 5, FALSE)</f>
        <v>Desktop</v>
      </c>
      <c r="E221" t="str">
        <f>VLOOKUP(A221, user_table!$A:$F, 6, FALSE)</f>
        <v>Organic</v>
      </c>
    </row>
    <row r="222" spans="1:5">
      <c r="A222">
        <v>1501</v>
      </c>
      <c r="B222" s="2">
        <v>45371.285416666666</v>
      </c>
      <c r="C222" t="str">
        <f>VLOOKUP(A222, user_table!$A:$B, 2, FALSE)</f>
        <v>Female</v>
      </c>
      <c r="D222" t="str">
        <f>VLOOKUP(A222, user_table!$A:$F, 5, FALSE)</f>
        <v>Desktop</v>
      </c>
      <c r="E222" t="str">
        <f>VLOOKUP(A222, user_table!$A:$F, 6, FALSE)</f>
        <v>Paid</v>
      </c>
    </row>
    <row r="223" spans="1:5">
      <c r="A223">
        <v>1020</v>
      </c>
      <c r="B223" s="2">
        <v>45309.447916666664</v>
      </c>
      <c r="C223" t="str">
        <f>VLOOKUP(A223, user_table!$A:$B, 2, FALSE)</f>
        <v>Male</v>
      </c>
      <c r="D223" t="str">
        <f>VLOOKUP(A223, user_table!$A:$F, 5, FALSE)</f>
        <v>Mobile</v>
      </c>
      <c r="E223" t="str">
        <f>VLOOKUP(A223, user_table!$A:$F, 6, FALSE)</f>
        <v>Organic</v>
      </c>
    </row>
    <row r="224" spans="1:5">
      <c r="A224">
        <v>1809</v>
      </c>
      <c r="B224" s="2">
        <v>45315.418749999997</v>
      </c>
      <c r="C224" t="str">
        <f>VLOOKUP(A224, user_table!$A:$B, 2, FALSE)</f>
        <v>Male</v>
      </c>
      <c r="D224" t="str">
        <f>VLOOKUP(A224, user_table!$A:$F, 5, FALSE)</f>
        <v>Desktop</v>
      </c>
      <c r="E224" t="str">
        <f>VLOOKUP(A224, user_table!$A:$F, 6, FALSE)</f>
        <v>Direct</v>
      </c>
    </row>
    <row r="225" spans="1:5">
      <c r="A225">
        <v>1372</v>
      </c>
      <c r="B225" s="2">
        <v>45295.192361111112</v>
      </c>
      <c r="C225" t="str">
        <f>VLOOKUP(A225, user_table!$A:$B, 2, FALSE)</f>
        <v>Male</v>
      </c>
      <c r="D225" t="str">
        <f>VLOOKUP(A225, user_table!$A:$F, 5, FALSE)</f>
        <v>Desktop</v>
      </c>
      <c r="E225" t="str">
        <f>VLOOKUP(A225, user_table!$A:$F, 6, FALSE)</f>
        <v>Direct</v>
      </c>
    </row>
    <row r="226" spans="1:5">
      <c r="A226">
        <v>1315</v>
      </c>
      <c r="B226" s="2">
        <v>45311.162499999999</v>
      </c>
      <c r="C226" t="str">
        <f>VLOOKUP(A226, user_table!$A:$B, 2, FALSE)</f>
        <v>Female</v>
      </c>
      <c r="D226" t="str">
        <f>VLOOKUP(A226, user_table!$A:$F, 5, FALSE)</f>
        <v>Mobile</v>
      </c>
      <c r="E226" t="str">
        <f>VLOOKUP(A226, user_table!$A:$F, 6, FALSE)</f>
        <v>Paid</v>
      </c>
    </row>
    <row r="227" spans="1:5">
      <c r="A227">
        <v>1246</v>
      </c>
      <c r="B227" s="2">
        <v>45360.461111111108</v>
      </c>
      <c r="C227" t="str">
        <f>VLOOKUP(A227, user_table!$A:$B, 2, FALSE)</f>
        <v>Female</v>
      </c>
      <c r="D227" t="str">
        <f>VLOOKUP(A227, user_table!$A:$F, 5, FALSE)</f>
        <v>Desktop</v>
      </c>
      <c r="E227" t="str">
        <f>VLOOKUP(A227, user_table!$A:$F, 6, FALSE)</f>
        <v>Paid</v>
      </c>
    </row>
    <row r="228" spans="1:5">
      <c r="A228">
        <v>1060</v>
      </c>
      <c r="B228" s="2">
        <v>45340.945833333331</v>
      </c>
      <c r="C228" t="str">
        <f>VLOOKUP(A228, user_table!$A:$B, 2, FALSE)</f>
        <v>Male</v>
      </c>
      <c r="D228" t="str">
        <f>VLOOKUP(A228, user_table!$A:$F, 5, FALSE)</f>
        <v>Mobile</v>
      </c>
      <c r="E228" t="str">
        <f>VLOOKUP(A228, user_table!$A:$F, 6, FALSE)</f>
        <v>Email</v>
      </c>
    </row>
    <row r="229" spans="1:5">
      <c r="A229">
        <v>1247</v>
      </c>
      <c r="B229" s="2">
        <v>45343.754166666666</v>
      </c>
      <c r="C229" t="str">
        <f>VLOOKUP(A229, user_table!$A:$B, 2, FALSE)</f>
        <v>Male</v>
      </c>
      <c r="D229" t="str">
        <f>VLOOKUP(A229, user_table!$A:$F, 5, FALSE)</f>
        <v>Desktop</v>
      </c>
      <c r="E229" t="str">
        <f>VLOOKUP(A229, user_table!$A:$F, 6, FALSE)</f>
        <v>Social</v>
      </c>
    </row>
    <row r="230" spans="1:5">
      <c r="A230">
        <v>1866</v>
      </c>
      <c r="B230" s="2">
        <v>45336.388888888891</v>
      </c>
      <c r="C230" t="str">
        <f>VLOOKUP(A230, user_table!$A:$B, 2, FALSE)</f>
        <v>Female</v>
      </c>
      <c r="D230" t="str">
        <f>VLOOKUP(A230, user_table!$A:$F, 5, FALSE)</f>
        <v>Mobile</v>
      </c>
      <c r="E230" t="str">
        <f>VLOOKUP(A230, user_table!$A:$F, 6, FALSE)</f>
        <v>Direct</v>
      </c>
    </row>
    <row r="231" spans="1:5">
      <c r="A231">
        <v>1934</v>
      </c>
      <c r="B231" s="2">
        <v>45310.240277777775</v>
      </c>
      <c r="C231" t="str">
        <f>VLOOKUP(A231, user_table!$A:$B, 2, FALSE)</f>
        <v>Female</v>
      </c>
      <c r="D231" t="str">
        <f>VLOOKUP(A231, user_table!$A:$F, 5, FALSE)</f>
        <v>Mobile</v>
      </c>
      <c r="E231" t="str">
        <f>VLOOKUP(A231, user_table!$A:$F, 6, FALSE)</f>
        <v>Social</v>
      </c>
    </row>
    <row r="232" spans="1:5">
      <c r="A232">
        <v>1088</v>
      </c>
      <c r="B232" s="2">
        <v>45348.854861111111</v>
      </c>
      <c r="C232" t="str">
        <f>VLOOKUP(A232, user_table!$A:$B, 2, FALSE)</f>
        <v>Female</v>
      </c>
      <c r="D232" t="str">
        <f>VLOOKUP(A232, user_table!$A:$F, 5, FALSE)</f>
        <v>Mobile</v>
      </c>
      <c r="E232" t="str">
        <f>VLOOKUP(A232, user_table!$A:$F, 6, FALSE)</f>
        <v>Email</v>
      </c>
    </row>
    <row r="233" spans="1:5">
      <c r="A233">
        <v>1750</v>
      </c>
      <c r="B233" s="2">
        <v>45376.424305555556</v>
      </c>
      <c r="C233" t="str">
        <f>VLOOKUP(A233, user_table!$A:$B, 2, FALSE)</f>
        <v>Female</v>
      </c>
      <c r="D233" t="str">
        <f>VLOOKUP(A233, user_table!$A:$F, 5, FALSE)</f>
        <v>Desktop</v>
      </c>
      <c r="E233" t="str">
        <f>VLOOKUP(A233, user_table!$A:$F, 6, FALSE)</f>
        <v>Organic</v>
      </c>
    </row>
    <row r="234" spans="1:5">
      <c r="A234">
        <v>1498</v>
      </c>
      <c r="B234" s="2">
        <v>45364.955555555556</v>
      </c>
      <c r="C234" t="str">
        <f>VLOOKUP(A234, user_table!$A:$B, 2, FALSE)</f>
        <v>Male</v>
      </c>
      <c r="D234" t="str">
        <f>VLOOKUP(A234, user_table!$A:$F, 5, FALSE)</f>
        <v>Desktop</v>
      </c>
      <c r="E234" t="str">
        <f>VLOOKUP(A234, user_table!$A:$F, 6, FALSE)</f>
        <v>Social</v>
      </c>
    </row>
    <row r="235" spans="1:5">
      <c r="A235">
        <v>1071</v>
      </c>
      <c r="B235" s="2">
        <v>45371.468055555553</v>
      </c>
      <c r="C235" t="str">
        <f>VLOOKUP(A235, user_table!$A:$B, 2, FALSE)</f>
        <v>Female</v>
      </c>
      <c r="D235" t="str">
        <f>VLOOKUP(A235, user_table!$A:$F, 5, FALSE)</f>
        <v>Desktop</v>
      </c>
      <c r="E235" t="str">
        <f>VLOOKUP(A235, user_table!$A:$F, 6, FALSE)</f>
        <v>Paid</v>
      </c>
    </row>
    <row r="236" spans="1:5">
      <c r="A236">
        <v>1546</v>
      </c>
      <c r="B236" s="2">
        <v>45378.786111111112</v>
      </c>
      <c r="C236" t="str">
        <f>VLOOKUP(A236, user_table!$A:$B, 2, FALSE)</f>
        <v>Male</v>
      </c>
      <c r="D236" t="str">
        <f>VLOOKUP(A236, user_table!$A:$F, 5, FALSE)</f>
        <v>Mobile</v>
      </c>
      <c r="E236" t="str">
        <f>VLOOKUP(A236, user_table!$A:$F, 6, FALSE)</f>
        <v>Paid</v>
      </c>
    </row>
    <row r="237" spans="1:5">
      <c r="A237">
        <v>1129</v>
      </c>
      <c r="B237" s="2">
        <v>45315.513194444444</v>
      </c>
      <c r="C237" t="str">
        <f>VLOOKUP(A237, user_table!$A:$B, 2, FALSE)</f>
        <v>Male</v>
      </c>
      <c r="D237" t="str">
        <f>VLOOKUP(A237, user_table!$A:$F, 5, FALSE)</f>
        <v>Mobile</v>
      </c>
      <c r="E237" t="str">
        <f>VLOOKUP(A237, user_table!$A:$F, 6, FALSE)</f>
        <v>Organic</v>
      </c>
    </row>
    <row r="238" spans="1:5">
      <c r="A238">
        <v>1132</v>
      </c>
      <c r="B238" s="2">
        <v>45381.380555555559</v>
      </c>
      <c r="C238" t="str">
        <f>VLOOKUP(A238, user_table!$A:$B, 2, FALSE)</f>
        <v>Male</v>
      </c>
      <c r="D238" t="str">
        <f>VLOOKUP(A238, user_table!$A:$F, 5, FALSE)</f>
        <v>Desktop</v>
      </c>
      <c r="E238" t="str">
        <f>VLOOKUP(A238, user_table!$A:$F, 6, FALSE)</f>
        <v>Social</v>
      </c>
    </row>
    <row r="239" spans="1:5">
      <c r="A239">
        <v>1676</v>
      </c>
      <c r="B239" s="2">
        <v>45315.958333333336</v>
      </c>
      <c r="C239" t="str">
        <f>VLOOKUP(A239, user_table!$A:$B, 2, FALSE)</f>
        <v>Female</v>
      </c>
      <c r="D239" t="str">
        <f>VLOOKUP(A239, user_table!$A:$F, 5, FALSE)</f>
        <v>Mobile</v>
      </c>
      <c r="E239" t="str">
        <f>VLOOKUP(A239, user_table!$A:$F, 6, FALSE)</f>
        <v>Direct</v>
      </c>
    </row>
    <row r="240" spans="1:5">
      <c r="A240">
        <v>1487</v>
      </c>
      <c r="B240" s="2">
        <v>45382.767361111109</v>
      </c>
      <c r="C240" t="str">
        <f>VLOOKUP(A240, user_table!$A:$B, 2, FALSE)</f>
        <v>Male</v>
      </c>
      <c r="D240" t="str">
        <f>VLOOKUP(A240, user_table!$A:$F, 5, FALSE)</f>
        <v>Mobile</v>
      </c>
      <c r="E240" t="str">
        <f>VLOOKUP(A240, user_table!$A:$F, 6, FALSE)</f>
        <v>Social</v>
      </c>
    </row>
    <row r="241" spans="1:5">
      <c r="A241">
        <v>1563</v>
      </c>
      <c r="B241" s="2">
        <v>45365.049305555556</v>
      </c>
      <c r="C241" t="str">
        <f>VLOOKUP(A241, user_table!$A:$B, 2, FALSE)</f>
        <v>Male</v>
      </c>
      <c r="D241" t="str">
        <f>VLOOKUP(A241, user_table!$A:$F, 5, FALSE)</f>
        <v>Desktop</v>
      </c>
      <c r="E241" t="str">
        <f>VLOOKUP(A241, user_table!$A:$F, 6, FALSE)</f>
        <v>Social</v>
      </c>
    </row>
    <row r="242" spans="1:5">
      <c r="A242">
        <v>1170</v>
      </c>
      <c r="B242" s="2">
        <v>45370.456944444442</v>
      </c>
      <c r="C242" t="str">
        <f>VLOOKUP(A242, user_table!$A:$B, 2, FALSE)</f>
        <v>Female</v>
      </c>
      <c r="D242" t="str">
        <f>VLOOKUP(A242, user_table!$A:$F, 5, FALSE)</f>
        <v>Mobile</v>
      </c>
      <c r="E242" t="str">
        <f>VLOOKUP(A242, user_table!$A:$F, 6, FALSE)</f>
        <v>Email</v>
      </c>
    </row>
    <row r="243" spans="1:5">
      <c r="A243">
        <v>1856</v>
      </c>
      <c r="B243" s="2">
        <v>45371.319444444445</v>
      </c>
      <c r="C243" t="str">
        <f>VLOOKUP(A243, user_table!$A:$B, 2, FALSE)</f>
        <v>Male</v>
      </c>
      <c r="D243" t="str">
        <f>VLOOKUP(A243, user_table!$A:$F, 5, FALSE)</f>
        <v>Desktop</v>
      </c>
      <c r="E243" t="str">
        <f>VLOOKUP(A243, user_table!$A:$F, 6, FALSE)</f>
        <v>Email</v>
      </c>
    </row>
    <row r="244" spans="1:5">
      <c r="A244">
        <v>1541</v>
      </c>
      <c r="B244" s="2">
        <v>45365.165972222225</v>
      </c>
      <c r="C244" t="str">
        <f>VLOOKUP(A244, user_table!$A:$B, 2, FALSE)</f>
        <v>Female</v>
      </c>
      <c r="D244" t="str">
        <f>VLOOKUP(A244, user_table!$A:$F, 5, FALSE)</f>
        <v>Desktop</v>
      </c>
      <c r="E244" t="str">
        <f>VLOOKUP(A244, user_table!$A:$F, 6, FALSE)</f>
        <v>Organic</v>
      </c>
    </row>
    <row r="245" spans="1:5">
      <c r="A245">
        <v>1622</v>
      </c>
      <c r="B245" s="2">
        <v>45356.181250000001</v>
      </c>
      <c r="C245" t="str">
        <f>VLOOKUP(A245, user_table!$A:$B, 2, FALSE)</f>
        <v>Male</v>
      </c>
      <c r="D245" t="str">
        <f>VLOOKUP(A245, user_table!$A:$F, 5, FALSE)</f>
        <v>Tablet</v>
      </c>
      <c r="E245" t="str">
        <f>VLOOKUP(A245, user_table!$A:$F, 6, FALSE)</f>
        <v>Organic</v>
      </c>
    </row>
    <row r="246" spans="1:5">
      <c r="A246">
        <v>1434</v>
      </c>
      <c r="B246" s="2">
        <v>45302.306944444441</v>
      </c>
      <c r="C246" t="str">
        <f>VLOOKUP(A246, user_table!$A:$B, 2, FALSE)</f>
        <v>Male</v>
      </c>
      <c r="D246" t="str">
        <f>VLOOKUP(A246, user_table!$A:$F, 5, FALSE)</f>
        <v>Mobile</v>
      </c>
      <c r="E246" t="str">
        <f>VLOOKUP(A246, user_table!$A:$F, 6, FALSE)</f>
        <v>Paid</v>
      </c>
    </row>
    <row r="247" spans="1:5">
      <c r="A247">
        <v>1867</v>
      </c>
      <c r="B247" s="2">
        <v>45333.236111111109</v>
      </c>
      <c r="C247" t="str">
        <f>VLOOKUP(A247, user_table!$A:$B, 2, FALSE)</f>
        <v>Male</v>
      </c>
      <c r="D247" t="str">
        <f>VLOOKUP(A247, user_table!$A:$F, 5, FALSE)</f>
        <v>Tablet</v>
      </c>
      <c r="E247" t="str">
        <f>VLOOKUP(A247, user_table!$A:$F, 6, FALSE)</f>
        <v>Social</v>
      </c>
    </row>
    <row r="248" spans="1:5">
      <c r="A248">
        <v>1785</v>
      </c>
      <c r="B248" s="2">
        <v>45304.945833333331</v>
      </c>
      <c r="C248" t="str">
        <f>VLOOKUP(A248, user_table!$A:$B, 2, FALSE)</f>
        <v>Male</v>
      </c>
      <c r="D248" t="str">
        <f>VLOOKUP(A248, user_table!$A:$F, 5, FALSE)</f>
        <v>Mobile</v>
      </c>
      <c r="E248" t="str">
        <f>VLOOKUP(A248, user_table!$A:$F, 6, FALSE)</f>
        <v>Organic</v>
      </c>
    </row>
    <row r="249" spans="1:5">
      <c r="A249">
        <v>1939</v>
      </c>
      <c r="B249" s="2">
        <v>45374.99722222222</v>
      </c>
      <c r="C249" t="str">
        <f>VLOOKUP(A249, user_table!$A:$B, 2, FALSE)</f>
        <v>Male</v>
      </c>
      <c r="D249" t="str">
        <f>VLOOKUP(A249, user_table!$A:$F, 5, FALSE)</f>
        <v>Desktop</v>
      </c>
      <c r="E249" t="str">
        <f>VLOOKUP(A249, user_table!$A:$F, 6, FALSE)</f>
        <v>Organic</v>
      </c>
    </row>
    <row r="250" spans="1:5">
      <c r="A250">
        <v>1707</v>
      </c>
      <c r="B250" s="2">
        <v>45335.583333333336</v>
      </c>
      <c r="C250" t="str">
        <f>VLOOKUP(A250, user_table!$A:$B, 2, FALSE)</f>
        <v>Male</v>
      </c>
      <c r="D250" t="str">
        <f>VLOOKUP(A250, user_table!$A:$F, 5, FALSE)</f>
        <v>Desktop</v>
      </c>
      <c r="E250" t="str">
        <f>VLOOKUP(A250, user_table!$A:$F, 6, FALSE)</f>
        <v>Organic</v>
      </c>
    </row>
    <row r="251" spans="1:5">
      <c r="A251">
        <v>1206</v>
      </c>
      <c r="B251" s="2">
        <v>45326.260416666664</v>
      </c>
      <c r="C251" t="str">
        <f>VLOOKUP(A251, user_table!$A:$B, 2, FALSE)</f>
        <v>Male</v>
      </c>
      <c r="D251" t="str">
        <f>VLOOKUP(A251, user_table!$A:$F, 5, FALSE)</f>
        <v>Mobile</v>
      </c>
      <c r="E251" t="str">
        <f>VLOOKUP(A251, user_table!$A:$F, 6, FALSE)</f>
        <v>Social</v>
      </c>
    </row>
    <row r="252" spans="1:5">
      <c r="A252">
        <v>1731</v>
      </c>
      <c r="B252" s="2">
        <v>45381.098611111112</v>
      </c>
      <c r="C252" t="str">
        <f>VLOOKUP(A252, user_table!$A:$B, 2, FALSE)</f>
        <v>Male</v>
      </c>
      <c r="D252" t="str">
        <f>VLOOKUP(A252, user_table!$A:$F, 5, FALSE)</f>
        <v>Tablet</v>
      </c>
      <c r="E252" t="str">
        <f>VLOOKUP(A252, user_table!$A:$F, 6, FALSE)</f>
        <v>Social</v>
      </c>
    </row>
    <row r="253" spans="1:5">
      <c r="A253">
        <v>1320</v>
      </c>
      <c r="B253" s="2">
        <v>45325.156944444447</v>
      </c>
      <c r="C253" t="str">
        <f>VLOOKUP(A253, user_table!$A:$B, 2, FALSE)</f>
        <v>Male</v>
      </c>
      <c r="D253" t="str">
        <f>VLOOKUP(A253, user_table!$A:$F, 5, FALSE)</f>
        <v>Desktop</v>
      </c>
      <c r="E253" t="str">
        <f>VLOOKUP(A253, user_table!$A:$F, 6, FALSE)</f>
        <v>Email</v>
      </c>
    </row>
    <row r="254" spans="1:5">
      <c r="A254">
        <v>1845</v>
      </c>
      <c r="B254" s="2">
        <v>45293.058333333334</v>
      </c>
      <c r="C254" t="str">
        <f>VLOOKUP(A254, user_table!$A:$B, 2, FALSE)</f>
        <v>Male</v>
      </c>
      <c r="D254" t="str">
        <f>VLOOKUP(A254, user_table!$A:$F, 5, FALSE)</f>
        <v>Tablet</v>
      </c>
      <c r="E254" t="str">
        <f>VLOOKUP(A254, user_table!$A:$F, 6, FALSE)</f>
        <v>Social</v>
      </c>
    </row>
    <row r="255" spans="1:5">
      <c r="A255">
        <v>1688</v>
      </c>
      <c r="B255" s="2">
        <v>45349.976388888892</v>
      </c>
      <c r="C255" t="str">
        <f>VLOOKUP(A255, user_table!$A:$B, 2, FALSE)</f>
        <v>Male</v>
      </c>
      <c r="D255" t="str">
        <f>VLOOKUP(A255, user_table!$A:$F, 5, FALSE)</f>
        <v>Desktop</v>
      </c>
      <c r="E255" t="str">
        <f>VLOOKUP(A255, user_table!$A:$F, 6, FALSE)</f>
        <v>Social</v>
      </c>
    </row>
    <row r="256" spans="1:5">
      <c r="A256">
        <v>1972</v>
      </c>
      <c r="B256" s="2">
        <v>45314.563194444447</v>
      </c>
      <c r="C256" t="str">
        <f>VLOOKUP(A256, user_table!$A:$B, 2, FALSE)</f>
        <v>Female</v>
      </c>
      <c r="D256" t="str">
        <f>VLOOKUP(A256, user_table!$A:$F, 5, FALSE)</f>
        <v>Desktop</v>
      </c>
      <c r="E256" t="str">
        <f>VLOOKUP(A256, user_table!$A:$F, 6, FALSE)</f>
        <v>Email</v>
      </c>
    </row>
    <row r="257" spans="1:5">
      <c r="A257">
        <v>1832</v>
      </c>
      <c r="B257" s="2">
        <v>45341.481944444444</v>
      </c>
      <c r="C257" t="str">
        <f>VLOOKUP(A257, user_table!$A:$B, 2, FALSE)</f>
        <v>Male</v>
      </c>
      <c r="D257" t="str">
        <f>VLOOKUP(A257, user_table!$A:$F, 5, FALSE)</f>
        <v>Tablet</v>
      </c>
      <c r="E257" t="str">
        <f>VLOOKUP(A257, user_table!$A:$F, 6, FALSE)</f>
        <v>Email</v>
      </c>
    </row>
    <row r="258" spans="1:5">
      <c r="A258">
        <v>1449</v>
      </c>
      <c r="B258" s="2">
        <v>45341.161805555559</v>
      </c>
      <c r="C258" t="str">
        <f>VLOOKUP(A258, user_table!$A:$B, 2, FALSE)</f>
        <v>Male</v>
      </c>
      <c r="D258" t="str">
        <f>VLOOKUP(A258, user_table!$A:$F, 5, FALSE)</f>
        <v>Mobile</v>
      </c>
      <c r="E258" t="str">
        <f>VLOOKUP(A258, user_table!$A:$F, 6, FALSE)</f>
        <v>Social</v>
      </c>
    </row>
    <row r="259" spans="1:5">
      <c r="A259">
        <v>1530</v>
      </c>
      <c r="B259" s="2">
        <v>45354.77847222222</v>
      </c>
      <c r="C259" t="str">
        <f>VLOOKUP(A259, user_table!$A:$B, 2, FALSE)</f>
        <v>Female</v>
      </c>
      <c r="D259" t="str">
        <f>VLOOKUP(A259, user_table!$A:$F, 5, FALSE)</f>
        <v>Tablet</v>
      </c>
      <c r="E259" t="str">
        <f>VLOOKUP(A259, user_table!$A:$F, 6, FALSE)</f>
        <v>Email</v>
      </c>
    </row>
    <row r="260" spans="1:5">
      <c r="A260">
        <v>1463</v>
      </c>
      <c r="B260" s="2">
        <v>45380.298611111109</v>
      </c>
      <c r="C260" t="str">
        <f>VLOOKUP(A260, user_table!$A:$B, 2, FALSE)</f>
        <v>Female</v>
      </c>
      <c r="D260" t="str">
        <f>VLOOKUP(A260, user_table!$A:$F, 5, FALSE)</f>
        <v>Mobile</v>
      </c>
      <c r="E260" t="str">
        <f>VLOOKUP(A260, user_table!$A:$F, 6, FALSE)</f>
        <v>Email</v>
      </c>
    </row>
    <row r="261" spans="1:5">
      <c r="A261">
        <v>1124</v>
      </c>
      <c r="B261" s="2">
        <v>45350.118750000001</v>
      </c>
      <c r="C261" t="str">
        <f>VLOOKUP(A261, user_table!$A:$B, 2, FALSE)</f>
        <v>Male</v>
      </c>
      <c r="D261" t="str">
        <f>VLOOKUP(A261, user_table!$A:$F, 5, FALSE)</f>
        <v>Desktop</v>
      </c>
      <c r="E261" t="str">
        <f>VLOOKUP(A261, user_table!$A:$F, 6, FALSE)</f>
        <v>Organic</v>
      </c>
    </row>
    <row r="262" spans="1:5">
      <c r="A262">
        <v>1254</v>
      </c>
      <c r="B262" s="2">
        <v>45297.375694444447</v>
      </c>
      <c r="C262" t="str">
        <f>VLOOKUP(A262, user_table!$A:$B, 2, FALSE)</f>
        <v>Male</v>
      </c>
      <c r="D262" t="str">
        <f>VLOOKUP(A262, user_table!$A:$F, 5, FALSE)</f>
        <v>Mobile</v>
      </c>
      <c r="E262" t="str">
        <f>VLOOKUP(A262, user_table!$A:$F, 6, FALSE)</f>
        <v>Paid</v>
      </c>
    </row>
    <row r="263" spans="1:5">
      <c r="A263">
        <v>1231</v>
      </c>
      <c r="B263" s="2">
        <v>45333.337500000001</v>
      </c>
      <c r="C263" t="str">
        <f>VLOOKUP(A263, user_table!$A:$B, 2, FALSE)</f>
        <v>Female</v>
      </c>
      <c r="D263" t="str">
        <f>VLOOKUP(A263, user_table!$A:$F, 5, FALSE)</f>
        <v>Mobile</v>
      </c>
      <c r="E263" t="str">
        <f>VLOOKUP(A263, user_table!$A:$F, 6, FALSE)</f>
        <v>Social</v>
      </c>
    </row>
    <row r="264" spans="1:5">
      <c r="A264">
        <v>1828</v>
      </c>
      <c r="B264" s="2">
        <v>45302.423611111109</v>
      </c>
      <c r="C264" t="str">
        <f>VLOOKUP(A264, user_table!$A:$B, 2, FALSE)</f>
        <v>Male</v>
      </c>
      <c r="D264" t="str">
        <f>VLOOKUP(A264, user_table!$A:$F, 5, FALSE)</f>
        <v>Desktop</v>
      </c>
      <c r="E264" t="str">
        <f>VLOOKUP(A264, user_table!$A:$F, 6, FALSE)</f>
        <v>Social</v>
      </c>
    </row>
    <row r="265" spans="1:5">
      <c r="A265">
        <v>1347</v>
      </c>
      <c r="B265" s="2">
        <v>45341.240277777775</v>
      </c>
      <c r="C265" t="str">
        <f>VLOOKUP(A265, user_table!$A:$B, 2, FALSE)</f>
        <v>Female</v>
      </c>
      <c r="D265" t="str">
        <f>VLOOKUP(A265, user_table!$A:$F, 5, FALSE)</f>
        <v>Mobile</v>
      </c>
      <c r="E265" t="str">
        <f>VLOOKUP(A265, user_table!$A:$F, 6, FALSE)</f>
        <v>Social</v>
      </c>
    </row>
    <row r="266" spans="1:5">
      <c r="A266">
        <v>1022</v>
      </c>
      <c r="B266" s="2">
        <v>45302.747916666667</v>
      </c>
      <c r="C266" t="str">
        <f>VLOOKUP(A266, user_table!$A:$B, 2, FALSE)</f>
        <v>Male</v>
      </c>
      <c r="D266" t="str">
        <f>VLOOKUP(A266, user_table!$A:$F, 5, FALSE)</f>
        <v>Desktop</v>
      </c>
      <c r="E266" t="str">
        <f>VLOOKUP(A266, user_table!$A:$F, 6, FALSE)</f>
        <v>Organic</v>
      </c>
    </row>
    <row r="267" spans="1:5">
      <c r="A267">
        <v>1603</v>
      </c>
      <c r="B267" s="2">
        <v>45304.443055555559</v>
      </c>
      <c r="C267" t="str">
        <f>VLOOKUP(A267, user_table!$A:$B, 2, FALSE)</f>
        <v>Male</v>
      </c>
      <c r="D267" t="str">
        <f>VLOOKUP(A267, user_table!$A:$F, 5, FALSE)</f>
        <v>Mobile</v>
      </c>
      <c r="E267" t="str">
        <f>VLOOKUP(A267, user_table!$A:$F, 6, FALSE)</f>
        <v>Social</v>
      </c>
    </row>
    <row r="268" spans="1:5">
      <c r="A268">
        <v>1568</v>
      </c>
      <c r="B268" s="2">
        <v>45371.65625</v>
      </c>
      <c r="C268" t="str">
        <f>VLOOKUP(A268, user_table!$A:$B, 2, FALSE)</f>
        <v>Male</v>
      </c>
      <c r="D268" t="str">
        <f>VLOOKUP(A268, user_table!$A:$F, 5, FALSE)</f>
        <v>Desktop</v>
      </c>
      <c r="E268" t="str">
        <f>VLOOKUP(A268, user_table!$A:$F, 6, FALSE)</f>
        <v>Organic</v>
      </c>
    </row>
    <row r="269" spans="1:5">
      <c r="A269">
        <v>1236</v>
      </c>
      <c r="B269" s="2">
        <v>45296.570138888892</v>
      </c>
      <c r="C269" t="str">
        <f>VLOOKUP(A269, user_table!$A:$B, 2, FALSE)</f>
        <v>Female</v>
      </c>
      <c r="D269" t="str">
        <f>VLOOKUP(A269, user_table!$A:$F, 5, FALSE)</f>
        <v>Desktop</v>
      </c>
      <c r="E269" t="str">
        <f>VLOOKUP(A269, user_table!$A:$F, 6, FALSE)</f>
        <v>Email</v>
      </c>
    </row>
    <row r="270" spans="1:5">
      <c r="A270">
        <v>1735</v>
      </c>
      <c r="B270" s="2">
        <v>45314.830555555556</v>
      </c>
      <c r="C270" t="str">
        <f>VLOOKUP(A270, user_table!$A:$B, 2, FALSE)</f>
        <v>Male</v>
      </c>
      <c r="D270" t="str">
        <f>VLOOKUP(A270, user_table!$A:$F, 5, FALSE)</f>
        <v>Mobile</v>
      </c>
      <c r="E270" t="str">
        <f>VLOOKUP(A270, user_table!$A:$F, 6, FALSE)</f>
        <v>Organic</v>
      </c>
    </row>
    <row r="271" spans="1:5">
      <c r="A271">
        <v>1968</v>
      </c>
      <c r="B271" s="2">
        <v>45348.210416666669</v>
      </c>
      <c r="C271" t="str">
        <f>VLOOKUP(A271, user_table!$A:$B, 2, FALSE)</f>
        <v>Male</v>
      </c>
      <c r="D271" t="str">
        <f>VLOOKUP(A271, user_table!$A:$F, 5, FALSE)</f>
        <v>Mobile</v>
      </c>
      <c r="E271" t="str">
        <f>VLOOKUP(A271, user_table!$A:$F, 6, FALSE)</f>
        <v>Paid</v>
      </c>
    </row>
    <row r="272" spans="1:5">
      <c r="A272">
        <v>1008</v>
      </c>
      <c r="B272" s="2">
        <v>45305.425694444442</v>
      </c>
      <c r="C272" t="str">
        <f>VLOOKUP(A272, user_table!$A:$B, 2, FALSE)</f>
        <v>Female</v>
      </c>
      <c r="D272" t="str">
        <f>VLOOKUP(A272, user_table!$A:$F, 5, FALSE)</f>
        <v>Desktop</v>
      </c>
      <c r="E272" t="str">
        <f>VLOOKUP(A272, user_table!$A:$F, 6, FALSE)</f>
        <v>Paid</v>
      </c>
    </row>
    <row r="273" spans="1:5">
      <c r="A273">
        <v>1073</v>
      </c>
      <c r="B273" s="2">
        <v>45317.572222222225</v>
      </c>
      <c r="C273" t="str">
        <f>VLOOKUP(A273, user_table!$A:$B, 2, FALSE)</f>
        <v>Male</v>
      </c>
      <c r="D273" t="str">
        <f>VLOOKUP(A273, user_table!$A:$F, 5, FALSE)</f>
        <v>Tablet</v>
      </c>
      <c r="E273" t="str">
        <f>VLOOKUP(A273, user_table!$A:$F, 6, FALSE)</f>
        <v>Organic</v>
      </c>
    </row>
    <row r="274" spans="1:5">
      <c r="A274">
        <v>1725</v>
      </c>
      <c r="B274" s="2">
        <v>45363.999305555553</v>
      </c>
      <c r="C274" t="str">
        <f>VLOOKUP(A274, user_table!$A:$B, 2, FALSE)</f>
        <v>Female</v>
      </c>
      <c r="D274" t="str">
        <f>VLOOKUP(A274, user_table!$A:$F, 5, FALSE)</f>
        <v>Desktop</v>
      </c>
      <c r="E274" t="str">
        <f>VLOOKUP(A274, user_table!$A:$F, 6, FALSE)</f>
        <v>Direct</v>
      </c>
    </row>
    <row r="275" spans="1:5">
      <c r="A275">
        <v>1647</v>
      </c>
      <c r="B275" s="2">
        <v>45362.362500000003</v>
      </c>
      <c r="C275" t="str">
        <f>VLOOKUP(A275, user_table!$A:$B, 2, FALSE)</f>
        <v>Female</v>
      </c>
      <c r="D275" t="str">
        <f>VLOOKUP(A275, user_table!$A:$F, 5, FALSE)</f>
        <v>Desktop</v>
      </c>
      <c r="E275" t="str">
        <f>VLOOKUP(A275, user_table!$A:$F, 6, FALSE)</f>
        <v>Email</v>
      </c>
    </row>
    <row r="276" spans="1:5">
      <c r="A276">
        <v>1061</v>
      </c>
      <c r="B276" s="2">
        <v>45329.385416666664</v>
      </c>
      <c r="C276" t="str">
        <f>VLOOKUP(A276, user_table!$A:$B, 2, FALSE)</f>
        <v>Male</v>
      </c>
      <c r="D276" t="str">
        <f>VLOOKUP(A276, user_table!$A:$F, 5, FALSE)</f>
        <v>Mobile</v>
      </c>
      <c r="E276" t="str">
        <f>VLOOKUP(A276, user_table!$A:$F, 6, FALSE)</f>
        <v>Direct</v>
      </c>
    </row>
    <row r="277" spans="1:5">
      <c r="A277">
        <v>1875</v>
      </c>
      <c r="B277" s="2">
        <v>45305.059027777781</v>
      </c>
      <c r="C277" t="str">
        <f>VLOOKUP(A277, user_table!$A:$B, 2, FALSE)</f>
        <v>Male</v>
      </c>
      <c r="D277" t="str">
        <f>VLOOKUP(A277, user_table!$A:$F, 5, FALSE)</f>
        <v>Desktop</v>
      </c>
      <c r="E277" t="str">
        <f>VLOOKUP(A277, user_table!$A:$F, 6, FALSE)</f>
        <v>Paid</v>
      </c>
    </row>
    <row r="278" spans="1:5">
      <c r="A278">
        <v>1070</v>
      </c>
      <c r="B278" s="2">
        <v>45366.745138888888</v>
      </c>
      <c r="C278" t="str">
        <f>VLOOKUP(A278, user_table!$A:$B, 2, FALSE)</f>
        <v>Female</v>
      </c>
      <c r="D278" t="str">
        <f>VLOOKUP(A278, user_table!$A:$F, 5, FALSE)</f>
        <v>Desktop</v>
      </c>
      <c r="E278" t="str">
        <f>VLOOKUP(A278, user_table!$A:$F, 6, FALSE)</f>
        <v>Direct</v>
      </c>
    </row>
    <row r="279" spans="1:5">
      <c r="A279">
        <v>1873</v>
      </c>
      <c r="B279" s="2">
        <v>45355.168749999997</v>
      </c>
      <c r="C279" t="str">
        <f>VLOOKUP(A279, user_table!$A:$B, 2, FALSE)</f>
        <v>Female</v>
      </c>
      <c r="D279" t="str">
        <f>VLOOKUP(A279, user_table!$A:$F, 5, FALSE)</f>
        <v>Desktop</v>
      </c>
      <c r="E279" t="str">
        <f>VLOOKUP(A279, user_table!$A:$F, 6, FALSE)</f>
        <v>Social</v>
      </c>
    </row>
    <row r="280" spans="1:5">
      <c r="A280">
        <v>1339</v>
      </c>
      <c r="B280" s="2">
        <v>45339.018750000003</v>
      </c>
      <c r="C280" t="str">
        <f>VLOOKUP(A280, user_table!$A:$B, 2, FALSE)</f>
        <v>Male</v>
      </c>
      <c r="D280" t="str">
        <f>VLOOKUP(A280, user_table!$A:$F, 5, FALSE)</f>
        <v>Mobile</v>
      </c>
      <c r="E280" t="str">
        <f>VLOOKUP(A280, user_table!$A:$F, 6, FALSE)</f>
        <v>Social</v>
      </c>
    </row>
    <row r="281" spans="1:5">
      <c r="A281">
        <v>1729</v>
      </c>
      <c r="B281" s="2">
        <v>45304.411111111112</v>
      </c>
      <c r="C281" t="str">
        <f>VLOOKUP(A281, user_table!$A:$B, 2, FALSE)</f>
        <v>Male</v>
      </c>
      <c r="D281" t="str">
        <f>VLOOKUP(A281, user_table!$A:$F, 5, FALSE)</f>
        <v>Desktop</v>
      </c>
      <c r="E281" t="str">
        <f>VLOOKUP(A281, user_table!$A:$F, 6, FALSE)</f>
        <v>Organic</v>
      </c>
    </row>
    <row r="282" spans="1:5">
      <c r="A282">
        <v>1527</v>
      </c>
      <c r="B282" s="2">
        <v>45377.859722222223</v>
      </c>
      <c r="C282" t="str">
        <f>VLOOKUP(A282, user_table!$A:$B, 2, FALSE)</f>
        <v>Male</v>
      </c>
      <c r="D282" t="str">
        <f>VLOOKUP(A282, user_table!$A:$F, 5, FALSE)</f>
        <v>Mobile</v>
      </c>
      <c r="E282" t="str">
        <f>VLOOKUP(A282, user_table!$A:$F, 6, FALSE)</f>
        <v>Social</v>
      </c>
    </row>
    <row r="283" spans="1:5">
      <c r="A283">
        <v>1244</v>
      </c>
      <c r="B283" s="2">
        <v>45354.254166666666</v>
      </c>
      <c r="C283" t="str">
        <f>VLOOKUP(A283, user_table!$A:$B, 2, FALSE)</f>
        <v>Male</v>
      </c>
      <c r="D283" t="str">
        <f>VLOOKUP(A283, user_table!$A:$F, 5, FALSE)</f>
        <v>Desktop</v>
      </c>
      <c r="E283" t="str">
        <f>VLOOKUP(A283, user_table!$A:$F, 6, FALSE)</f>
        <v>Paid</v>
      </c>
    </row>
    <row r="284" spans="1:5">
      <c r="A284">
        <v>1286</v>
      </c>
      <c r="B284" s="2">
        <v>45296.256944444445</v>
      </c>
      <c r="C284" t="str">
        <f>VLOOKUP(A284, user_table!$A:$B, 2, FALSE)</f>
        <v>Male</v>
      </c>
      <c r="D284" t="str">
        <f>VLOOKUP(A284, user_table!$A:$F, 5, FALSE)</f>
        <v>Mobile</v>
      </c>
      <c r="E284" t="str">
        <f>VLOOKUP(A284, user_table!$A:$F, 6, FALSE)</f>
        <v>Social</v>
      </c>
    </row>
    <row r="285" spans="1:5">
      <c r="A285">
        <v>1686</v>
      </c>
      <c r="B285" s="2">
        <v>45374.378472222219</v>
      </c>
      <c r="C285" t="str">
        <f>VLOOKUP(A285, user_table!$A:$B, 2, FALSE)</f>
        <v>Female</v>
      </c>
      <c r="D285" t="str">
        <f>VLOOKUP(A285, user_table!$A:$F, 5, FALSE)</f>
        <v>Desktop</v>
      </c>
      <c r="E285" t="str">
        <f>VLOOKUP(A285, user_table!$A:$F, 6, FALSE)</f>
        <v>Social</v>
      </c>
    </row>
    <row r="286" spans="1:5">
      <c r="A286">
        <v>1768</v>
      </c>
      <c r="B286" s="2">
        <v>45353.138194444444</v>
      </c>
      <c r="C286" t="str">
        <f>VLOOKUP(A286, user_table!$A:$B, 2, FALSE)</f>
        <v>Female</v>
      </c>
      <c r="D286" t="str">
        <f>VLOOKUP(A286, user_table!$A:$F, 5, FALSE)</f>
        <v>Mobile</v>
      </c>
      <c r="E286" t="str">
        <f>VLOOKUP(A286, user_table!$A:$F, 6, FALSE)</f>
        <v>Email</v>
      </c>
    </row>
    <row r="287" spans="1:5">
      <c r="A287">
        <v>1220</v>
      </c>
      <c r="B287" s="2">
        <v>45343.646527777775</v>
      </c>
      <c r="C287" t="str">
        <f>VLOOKUP(A287, user_table!$A:$B, 2, FALSE)</f>
        <v>Female</v>
      </c>
      <c r="D287" t="str">
        <f>VLOOKUP(A287, user_table!$A:$F, 5, FALSE)</f>
        <v>Tablet</v>
      </c>
      <c r="E287" t="str">
        <f>VLOOKUP(A287, user_table!$A:$F, 6, FALSE)</f>
        <v>Social</v>
      </c>
    </row>
    <row r="288" spans="1:5">
      <c r="A288">
        <v>1754</v>
      </c>
      <c r="B288" s="2">
        <v>45377.336805555555</v>
      </c>
      <c r="C288" t="str">
        <f>VLOOKUP(A288, user_table!$A:$B, 2, FALSE)</f>
        <v>Male</v>
      </c>
      <c r="D288" t="str">
        <f>VLOOKUP(A288, user_table!$A:$F, 5, FALSE)</f>
        <v>Mobile</v>
      </c>
      <c r="E288" t="str">
        <f>VLOOKUP(A288, user_table!$A:$F, 6, FALSE)</f>
        <v>Paid</v>
      </c>
    </row>
    <row r="289" spans="1:5">
      <c r="A289">
        <v>1136</v>
      </c>
      <c r="B289" s="2">
        <v>45375.724999999999</v>
      </c>
      <c r="C289" t="str">
        <f>VLOOKUP(A289, user_table!$A:$B, 2, FALSE)</f>
        <v>Male</v>
      </c>
      <c r="D289" t="str">
        <f>VLOOKUP(A289, user_table!$A:$F, 5, FALSE)</f>
        <v>Mobile</v>
      </c>
      <c r="E289" t="str">
        <f>VLOOKUP(A289, user_table!$A:$F, 6, FALSE)</f>
        <v>Organic</v>
      </c>
    </row>
    <row r="290" spans="1:5">
      <c r="A290">
        <v>1585</v>
      </c>
      <c r="B290" s="2">
        <v>45316.49722222222</v>
      </c>
      <c r="C290" t="str">
        <f>VLOOKUP(A290, user_table!$A:$B, 2, FALSE)</f>
        <v>Female</v>
      </c>
      <c r="D290" t="str">
        <f>VLOOKUP(A290, user_table!$A:$F, 5, FALSE)</f>
        <v>Mobile</v>
      </c>
      <c r="E290" t="str">
        <f>VLOOKUP(A290, user_table!$A:$F, 6, FALSE)</f>
        <v>Organic</v>
      </c>
    </row>
    <row r="291" spans="1:5">
      <c r="A291">
        <v>1591</v>
      </c>
      <c r="B291" s="2">
        <v>45341.46597222222</v>
      </c>
      <c r="C291" t="str">
        <f>VLOOKUP(A291, user_table!$A:$B, 2, FALSE)</f>
        <v>Male</v>
      </c>
      <c r="D291" t="str">
        <f>VLOOKUP(A291, user_table!$A:$F, 5, FALSE)</f>
        <v>Mobile</v>
      </c>
      <c r="E291" t="str">
        <f>VLOOKUP(A291, user_table!$A:$F, 6, FALSE)</f>
        <v>Paid</v>
      </c>
    </row>
    <row r="292" spans="1:5">
      <c r="A292">
        <v>1485</v>
      </c>
      <c r="B292" s="2">
        <v>45350.052777777775</v>
      </c>
      <c r="C292" t="str">
        <f>VLOOKUP(A292, user_table!$A:$B, 2, FALSE)</f>
        <v>Female</v>
      </c>
      <c r="D292" t="str">
        <f>VLOOKUP(A292, user_table!$A:$F, 5, FALSE)</f>
        <v>Tablet</v>
      </c>
      <c r="E292" t="str">
        <f>VLOOKUP(A292, user_table!$A:$F, 6, FALSE)</f>
        <v>Organic</v>
      </c>
    </row>
    <row r="293" spans="1:5">
      <c r="A293">
        <v>1249</v>
      </c>
      <c r="B293" s="2">
        <v>45349.594444444447</v>
      </c>
      <c r="C293" t="str">
        <f>VLOOKUP(A293, user_table!$A:$B, 2, FALSE)</f>
        <v>Female</v>
      </c>
      <c r="D293" t="str">
        <f>VLOOKUP(A293, user_table!$A:$F, 5, FALSE)</f>
        <v>Desktop</v>
      </c>
      <c r="E293" t="str">
        <f>VLOOKUP(A293, user_table!$A:$F, 6, FALSE)</f>
        <v>Organic</v>
      </c>
    </row>
    <row r="294" spans="1:5">
      <c r="A294">
        <v>1710</v>
      </c>
      <c r="B294" s="2">
        <v>45321.35833333333</v>
      </c>
      <c r="C294" t="str">
        <f>VLOOKUP(A294, user_table!$A:$B, 2, FALSE)</f>
        <v>Female</v>
      </c>
      <c r="D294" t="str">
        <f>VLOOKUP(A294, user_table!$A:$F, 5, FALSE)</f>
        <v>Mobile</v>
      </c>
      <c r="E294" t="str">
        <f>VLOOKUP(A294, user_table!$A:$F, 6, FALSE)</f>
        <v>Paid</v>
      </c>
    </row>
    <row r="295" spans="1:5">
      <c r="A295">
        <v>1417</v>
      </c>
      <c r="B295" s="2">
        <v>45300.2</v>
      </c>
      <c r="C295" t="str">
        <f>VLOOKUP(A295, user_table!$A:$B, 2, FALSE)</f>
        <v>Male</v>
      </c>
      <c r="D295" t="str">
        <f>VLOOKUP(A295, user_table!$A:$F, 5, FALSE)</f>
        <v>Desktop</v>
      </c>
      <c r="E295" t="str">
        <f>VLOOKUP(A295, user_table!$A:$F, 6, FALSE)</f>
        <v>Email</v>
      </c>
    </row>
    <row r="296" spans="1:5">
      <c r="A296">
        <v>1195</v>
      </c>
      <c r="B296" s="2">
        <v>45382.879166666666</v>
      </c>
      <c r="C296" t="str">
        <f>VLOOKUP(A296, user_table!$A:$B, 2, FALSE)</f>
        <v>Male</v>
      </c>
      <c r="D296" t="str">
        <f>VLOOKUP(A296, user_table!$A:$F, 5, FALSE)</f>
        <v>Desktop</v>
      </c>
      <c r="E296" t="str">
        <f>VLOOKUP(A296, user_table!$A:$F, 6, FALSE)</f>
        <v>Paid</v>
      </c>
    </row>
    <row r="297" spans="1:5">
      <c r="A297">
        <v>1097</v>
      </c>
      <c r="B297" s="2">
        <v>45303.890277777777</v>
      </c>
      <c r="C297" t="str">
        <f>VLOOKUP(A297, user_table!$A:$B, 2, FALSE)</f>
        <v>Female</v>
      </c>
      <c r="D297" t="str">
        <f>VLOOKUP(A297, user_table!$A:$F, 5, FALSE)</f>
        <v>Mobile</v>
      </c>
      <c r="E297" t="str">
        <f>VLOOKUP(A297, user_table!$A:$F, 6, FALSE)</f>
        <v>Paid</v>
      </c>
    </row>
    <row r="298" spans="1:5">
      <c r="A298">
        <v>1947</v>
      </c>
      <c r="B298" s="2">
        <v>45362.574999999997</v>
      </c>
      <c r="C298" t="str">
        <f>VLOOKUP(A298, user_table!$A:$B, 2, FALSE)</f>
        <v>Male</v>
      </c>
      <c r="D298" t="str">
        <f>VLOOKUP(A298, user_table!$A:$F, 5, FALSE)</f>
        <v>Tablet</v>
      </c>
      <c r="E298" t="str">
        <f>VLOOKUP(A298, user_table!$A:$F, 6, FALSE)</f>
        <v>Direct</v>
      </c>
    </row>
    <row r="299" spans="1:5">
      <c r="A299">
        <v>1675</v>
      </c>
      <c r="B299" s="2">
        <v>45368.315972222219</v>
      </c>
      <c r="C299" t="str">
        <f>VLOOKUP(A299, user_table!$A:$B, 2, FALSE)</f>
        <v>Male</v>
      </c>
      <c r="D299" t="str">
        <f>VLOOKUP(A299, user_table!$A:$F, 5, FALSE)</f>
        <v>Tablet</v>
      </c>
      <c r="E299" t="str">
        <f>VLOOKUP(A299, user_table!$A:$F, 6, FALSE)</f>
        <v>Social</v>
      </c>
    </row>
    <row r="300" spans="1:5">
      <c r="A300">
        <v>1442</v>
      </c>
      <c r="B300" s="2">
        <v>45300.536111111112</v>
      </c>
      <c r="C300" t="str">
        <f>VLOOKUP(A300, user_table!$A:$B, 2, FALSE)</f>
        <v>Female</v>
      </c>
      <c r="D300" t="str">
        <f>VLOOKUP(A300, user_table!$A:$F, 5, FALSE)</f>
        <v>Desktop</v>
      </c>
      <c r="E300" t="str">
        <f>VLOOKUP(A300, user_table!$A:$F, 6, FALSE)</f>
        <v>Organic</v>
      </c>
    </row>
    <row r="301" spans="1:5">
      <c r="A301">
        <v>1363</v>
      </c>
      <c r="B301" s="2">
        <v>45359.56527777778</v>
      </c>
      <c r="C301" t="str">
        <f>VLOOKUP(A301, user_table!$A:$B, 2, FALSE)</f>
        <v>Male</v>
      </c>
      <c r="D301" t="str">
        <f>VLOOKUP(A301, user_table!$A:$F, 5, FALSE)</f>
        <v>Desktop</v>
      </c>
      <c r="E301" t="str">
        <f>VLOOKUP(A301, user_table!$A:$F, 6, FALSE)</f>
        <v>Social</v>
      </c>
    </row>
    <row r="302" spans="1:5">
      <c r="A302">
        <v>1756</v>
      </c>
      <c r="B302" s="2">
        <v>45380.65</v>
      </c>
      <c r="C302" t="str">
        <f>VLOOKUP(A302, user_table!$A:$B, 2, FALSE)</f>
        <v>Female</v>
      </c>
      <c r="D302" t="str">
        <f>VLOOKUP(A302, user_table!$A:$F, 5, FALSE)</f>
        <v>Mobile</v>
      </c>
      <c r="E302" t="str">
        <f>VLOOKUP(A302, user_table!$A:$F, 6, FALSE)</f>
        <v>Organic</v>
      </c>
    </row>
    <row r="303" spans="1:5">
      <c r="A303">
        <v>1421</v>
      </c>
      <c r="B303" s="2">
        <v>45323.638194444444</v>
      </c>
      <c r="C303" t="str">
        <f>VLOOKUP(A303, user_table!$A:$B, 2, FALSE)</f>
        <v>Female</v>
      </c>
      <c r="D303" t="str">
        <f>VLOOKUP(A303, user_table!$A:$F, 5, FALSE)</f>
        <v>Desktop</v>
      </c>
      <c r="E303" t="str">
        <f>VLOOKUP(A303, user_table!$A:$F, 6, FALSE)</f>
        <v>Social</v>
      </c>
    </row>
    <row r="304" spans="1:5">
      <c r="A304">
        <v>1479</v>
      </c>
      <c r="B304" s="2">
        <v>45303.539583333331</v>
      </c>
      <c r="C304" t="str">
        <f>VLOOKUP(A304, user_table!$A:$B, 2, FALSE)</f>
        <v>Female</v>
      </c>
      <c r="D304" t="str">
        <f>VLOOKUP(A304, user_table!$A:$F, 5, FALSE)</f>
        <v>Desktop</v>
      </c>
      <c r="E304" t="str">
        <f>VLOOKUP(A304, user_table!$A:$F, 6, FALSE)</f>
        <v>Paid</v>
      </c>
    </row>
    <row r="305" spans="1:5">
      <c r="A305">
        <v>1056</v>
      </c>
      <c r="B305" s="2">
        <v>45297.691666666666</v>
      </c>
      <c r="C305" t="str">
        <f>VLOOKUP(A305, user_table!$A:$B, 2, FALSE)</f>
        <v>Female</v>
      </c>
      <c r="D305" t="str">
        <f>VLOOKUP(A305, user_table!$A:$F, 5, FALSE)</f>
        <v>Tablet</v>
      </c>
      <c r="E305" t="str">
        <f>VLOOKUP(A305, user_table!$A:$F, 6, FALSE)</f>
        <v>Organic</v>
      </c>
    </row>
    <row r="306" spans="1:5">
      <c r="A306">
        <v>1690</v>
      </c>
      <c r="B306" s="2">
        <v>45359.779861111114</v>
      </c>
      <c r="C306" t="str">
        <f>VLOOKUP(A306, user_table!$A:$B, 2, FALSE)</f>
        <v>Male</v>
      </c>
      <c r="D306" t="str">
        <f>VLOOKUP(A306, user_table!$A:$F, 5, FALSE)</f>
        <v>Desktop</v>
      </c>
      <c r="E306" t="str">
        <f>VLOOKUP(A306, user_table!$A:$F, 6, FALSE)</f>
        <v>Social</v>
      </c>
    </row>
    <row r="307" spans="1:5">
      <c r="A307">
        <v>1670</v>
      </c>
      <c r="B307" s="2">
        <v>45372.171527777777</v>
      </c>
      <c r="C307" t="str">
        <f>VLOOKUP(A307, user_table!$A:$B, 2, FALSE)</f>
        <v>Male</v>
      </c>
      <c r="D307" t="str">
        <f>VLOOKUP(A307, user_table!$A:$F, 5, FALSE)</f>
        <v>Mobile</v>
      </c>
      <c r="E307" t="str">
        <f>VLOOKUP(A307, user_table!$A:$F, 6, FALSE)</f>
        <v>Organic</v>
      </c>
    </row>
    <row r="308" spans="1:5">
      <c r="A308">
        <v>1662</v>
      </c>
      <c r="B308" s="2">
        <v>45350.215277777781</v>
      </c>
      <c r="C308" t="str">
        <f>VLOOKUP(A308, user_table!$A:$B, 2, FALSE)</f>
        <v>Female</v>
      </c>
      <c r="D308" t="str">
        <f>VLOOKUP(A308, user_table!$A:$F, 5, FALSE)</f>
        <v>Mobile</v>
      </c>
      <c r="E308" t="str">
        <f>VLOOKUP(A308, user_table!$A:$F, 6, FALSE)</f>
        <v>Paid</v>
      </c>
    </row>
    <row r="309" spans="1:5">
      <c r="A309">
        <v>1101</v>
      </c>
      <c r="B309" s="2">
        <v>45320.255555555559</v>
      </c>
      <c r="C309" t="str">
        <f>VLOOKUP(A309, user_table!$A:$B, 2, FALSE)</f>
        <v>Male</v>
      </c>
      <c r="D309" t="str">
        <f>VLOOKUP(A309, user_table!$A:$F, 5, FALSE)</f>
        <v>Mobile</v>
      </c>
      <c r="E309" t="str">
        <f>VLOOKUP(A309, user_table!$A:$F, 6, FALSE)</f>
        <v>Paid</v>
      </c>
    </row>
    <row r="310" spans="1:5">
      <c r="A310">
        <v>1063</v>
      </c>
      <c r="B310" s="2">
        <v>45298.545138888891</v>
      </c>
      <c r="C310" t="str">
        <f>VLOOKUP(A310, user_table!$A:$B, 2, FALSE)</f>
        <v>Female</v>
      </c>
      <c r="D310" t="str">
        <f>VLOOKUP(A310, user_table!$A:$F, 5, FALSE)</f>
        <v>Desktop</v>
      </c>
      <c r="E310" t="str">
        <f>VLOOKUP(A310, user_table!$A:$F, 6, FALSE)</f>
        <v>Paid</v>
      </c>
    </row>
    <row r="311" spans="1:5">
      <c r="A311">
        <v>1413</v>
      </c>
      <c r="B311" s="2">
        <v>45380.55</v>
      </c>
      <c r="C311" t="str">
        <f>VLOOKUP(A311, user_table!$A:$B, 2, FALSE)</f>
        <v>Female</v>
      </c>
      <c r="D311" t="str">
        <f>VLOOKUP(A311, user_table!$A:$F, 5, FALSE)</f>
        <v>Mobile</v>
      </c>
      <c r="E311" t="str">
        <f>VLOOKUP(A311, user_table!$A:$F, 6, FALSE)</f>
        <v>Social</v>
      </c>
    </row>
    <row r="312" spans="1:5">
      <c r="A312">
        <v>1348</v>
      </c>
      <c r="B312" s="2">
        <v>45373.203472222223</v>
      </c>
      <c r="C312" t="str">
        <f>VLOOKUP(A312, user_table!$A:$B, 2, FALSE)</f>
        <v>Male</v>
      </c>
      <c r="D312" t="str">
        <f>VLOOKUP(A312, user_table!$A:$F, 5, FALSE)</f>
        <v>Desktop</v>
      </c>
      <c r="E312" t="str">
        <f>VLOOKUP(A312, user_table!$A:$F, 6, FALSE)</f>
        <v>Organic</v>
      </c>
    </row>
    <row r="313" spans="1:5">
      <c r="A313">
        <v>1112</v>
      </c>
      <c r="B313" s="2">
        <v>45369.347222222219</v>
      </c>
      <c r="C313" t="str">
        <f>VLOOKUP(A313, user_table!$A:$B, 2, FALSE)</f>
        <v>Male</v>
      </c>
      <c r="D313" t="str">
        <f>VLOOKUP(A313, user_table!$A:$F, 5, FALSE)</f>
        <v>Desktop</v>
      </c>
      <c r="E313" t="str">
        <f>VLOOKUP(A313, user_table!$A:$F, 6, FALSE)</f>
        <v>Social</v>
      </c>
    </row>
    <row r="314" spans="1:5">
      <c r="A314">
        <v>1255</v>
      </c>
      <c r="B314" s="2">
        <v>45301.1</v>
      </c>
      <c r="C314" t="str">
        <f>VLOOKUP(A314, user_table!$A:$B, 2, FALSE)</f>
        <v>Male</v>
      </c>
      <c r="D314" t="str">
        <f>VLOOKUP(A314, user_table!$A:$F, 5, FALSE)</f>
        <v>Mobile</v>
      </c>
      <c r="E314" t="str">
        <f>VLOOKUP(A314, user_table!$A:$F, 6, FALSE)</f>
        <v>Social</v>
      </c>
    </row>
    <row r="315" spans="1:5">
      <c r="A315">
        <v>1924</v>
      </c>
      <c r="B315" s="2">
        <v>45364.524305555555</v>
      </c>
      <c r="C315" t="str">
        <f>VLOOKUP(A315, user_table!$A:$B, 2, FALSE)</f>
        <v>Female</v>
      </c>
      <c r="D315" t="str">
        <f>VLOOKUP(A315, user_table!$A:$F, 5, FALSE)</f>
        <v>Desktop</v>
      </c>
      <c r="E315" t="str">
        <f>VLOOKUP(A315, user_table!$A:$F, 6, FALSE)</f>
        <v>Direct</v>
      </c>
    </row>
    <row r="316" spans="1:5">
      <c r="A316">
        <v>1706</v>
      </c>
      <c r="B316" s="2">
        <v>45334.356249999997</v>
      </c>
      <c r="C316" t="str">
        <f>VLOOKUP(A316, user_table!$A:$B, 2, FALSE)</f>
        <v>Female</v>
      </c>
      <c r="D316" t="str">
        <f>VLOOKUP(A316, user_table!$A:$F, 5, FALSE)</f>
        <v>Desktop</v>
      </c>
      <c r="E316" t="str">
        <f>VLOOKUP(A316, user_table!$A:$F, 6, FALSE)</f>
        <v>Paid</v>
      </c>
    </row>
    <row r="317" spans="1:5">
      <c r="A317">
        <v>1815</v>
      </c>
      <c r="B317" s="2">
        <v>45351.034722222219</v>
      </c>
      <c r="C317" t="str">
        <f>VLOOKUP(A317, user_table!$A:$B, 2, FALSE)</f>
        <v>Female</v>
      </c>
      <c r="D317" t="str">
        <f>VLOOKUP(A317, user_table!$A:$F, 5, FALSE)</f>
        <v>Tablet</v>
      </c>
      <c r="E317" t="str">
        <f>VLOOKUP(A317, user_table!$A:$F, 6, FALSE)</f>
        <v>Paid</v>
      </c>
    </row>
    <row r="318" spans="1:5">
      <c r="A318">
        <v>1967</v>
      </c>
      <c r="B318" s="2">
        <v>45382.817361111112</v>
      </c>
      <c r="C318" t="str">
        <f>VLOOKUP(A318, user_table!$A:$B, 2, FALSE)</f>
        <v>Female</v>
      </c>
      <c r="D318" t="str">
        <f>VLOOKUP(A318, user_table!$A:$F, 5, FALSE)</f>
        <v>Mobile</v>
      </c>
      <c r="E318" t="str">
        <f>VLOOKUP(A318, user_table!$A:$F, 6, FALSE)</f>
        <v>Social</v>
      </c>
    </row>
    <row r="319" spans="1:5">
      <c r="A319">
        <v>1144</v>
      </c>
      <c r="B319" s="2">
        <v>45359.546527777777</v>
      </c>
      <c r="C319" t="str">
        <f>VLOOKUP(A319, user_table!$A:$B, 2, FALSE)</f>
        <v>Male</v>
      </c>
      <c r="D319" t="str">
        <f>VLOOKUP(A319, user_table!$A:$F, 5, FALSE)</f>
        <v>Tablet</v>
      </c>
      <c r="E319" t="str">
        <f>VLOOKUP(A319, user_table!$A:$F, 6, FALSE)</f>
        <v>Direct</v>
      </c>
    </row>
    <row r="320" spans="1:5">
      <c r="A320">
        <v>1830</v>
      </c>
      <c r="B320" s="2">
        <v>45346.17291666667</v>
      </c>
      <c r="C320" t="str">
        <f>VLOOKUP(A320, user_table!$A:$B, 2, FALSE)</f>
        <v>Male</v>
      </c>
      <c r="D320" t="str">
        <f>VLOOKUP(A320, user_table!$A:$F, 5, FALSE)</f>
        <v>Mobile</v>
      </c>
      <c r="E320" t="str">
        <f>VLOOKUP(A320, user_table!$A:$F, 6, FALSE)</f>
        <v>Social</v>
      </c>
    </row>
    <row r="321" spans="1:5">
      <c r="A321">
        <v>1188</v>
      </c>
      <c r="B321" s="2">
        <v>45365.775694444441</v>
      </c>
      <c r="C321" t="str">
        <f>VLOOKUP(A321, user_table!$A:$B, 2, FALSE)</f>
        <v>Female</v>
      </c>
      <c r="D321" t="str">
        <f>VLOOKUP(A321, user_table!$A:$F, 5, FALSE)</f>
        <v>Desktop</v>
      </c>
      <c r="E321" t="str">
        <f>VLOOKUP(A321, user_table!$A:$F, 6, FALSE)</f>
        <v>Organic</v>
      </c>
    </row>
    <row r="322" spans="1:5">
      <c r="A322">
        <v>1718</v>
      </c>
      <c r="B322" s="2">
        <v>45305.15</v>
      </c>
      <c r="C322" t="str">
        <f>VLOOKUP(A322, user_table!$A:$B, 2, FALSE)</f>
        <v>Female</v>
      </c>
      <c r="D322" t="str">
        <f>VLOOKUP(A322, user_table!$A:$F, 5, FALSE)</f>
        <v>Mobile</v>
      </c>
      <c r="E322" t="str">
        <f>VLOOKUP(A322, user_table!$A:$F, 6, FALSE)</f>
        <v>Paid</v>
      </c>
    </row>
    <row r="323" spans="1:5">
      <c r="A323">
        <v>1913</v>
      </c>
      <c r="B323" s="2">
        <v>45305.413194444445</v>
      </c>
      <c r="C323" t="str">
        <f>VLOOKUP(A323, user_table!$A:$B, 2, FALSE)</f>
        <v>Female</v>
      </c>
      <c r="D323" t="str">
        <f>VLOOKUP(A323, user_table!$A:$F, 5, FALSE)</f>
        <v>Tablet</v>
      </c>
      <c r="E323" t="str">
        <f>VLOOKUP(A323, user_table!$A:$F, 6, FALSE)</f>
        <v>Email</v>
      </c>
    </row>
    <row r="324" spans="1:5">
      <c r="A324">
        <v>1256</v>
      </c>
      <c r="B324" s="2">
        <v>45361.49722222222</v>
      </c>
      <c r="C324" t="str">
        <f>VLOOKUP(A324, user_table!$A:$B, 2, FALSE)</f>
        <v>Female</v>
      </c>
      <c r="D324" t="str">
        <f>VLOOKUP(A324, user_table!$A:$F, 5, FALSE)</f>
        <v>Mobile</v>
      </c>
      <c r="E324" t="str">
        <f>VLOOKUP(A324, user_table!$A:$F, 6, FALSE)</f>
        <v>Paid</v>
      </c>
    </row>
    <row r="325" spans="1:5">
      <c r="A325">
        <v>1078</v>
      </c>
      <c r="B325" s="2">
        <v>45345.35</v>
      </c>
      <c r="C325" t="str">
        <f>VLOOKUP(A325, user_table!$A:$B, 2, FALSE)</f>
        <v>Male</v>
      </c>
      <c r="D325" t="str">
        <f>VLOOKUP(A325, user_table!$A:$F, 5, FALSE)</f>
        <v>Desktop</v>
      </c>
      <c r="E325" t="str">
        <f>VLOOKUP(A325, user_table!$A:$F, 6, FALSE)</f>
        <v>Social</v>
      </c>
    </row>
    <row r="326" spans="1:5">
      <c r="A326">
        <v>1454</v>
      </c>
      <c r="B326" s="2">
        <v>45376.65</v>
      </c>
      <c r="C326" t="str">
        <f>VLOOKUP(A326, user_table!$A:$B, 2, FALSE)</f>
        <v>Female</v>
      </c>
      <c r="D326" t="str">
        <f>VLOOKUP(A326, user_table!$A:$F, 5, FALSE)</f>
        <v>Tablet</v>
      </c>
      <c r="E326" t="str">
        <f>VLOOKUP(A326, user_table!$A:$F, 6, FALSE)</f>
        <v>Paid</v>
      </c>
    </row>
    <row r="327" spans="1:5">
      <c r="A327">
        <v>1564</v>
      </c>
      <c r="B327" s="2">
        <v>45370.626388888886</v>
      </c>
      <c r="C327" t="str">
        <f>VLOOKUP(A327, user_table!$A:$B, 2, FALSE)</f>
        <v>Male</v>
      </c>
      <c r="D327" t="str">
        <f>VLOOKUP(A327, user_table!$A:$F, 5, FALSE)</f>
        <v>Tablet</v>
      </c>
      <c r="E327" t="str">
        <f>VLOOKUP(A327, user_table!$A:$F, 6, FALSE)</f>
        <v>Social</v>
      </c>
    </row>
    <row r="328" spans="1:5">
      <c r="A328">
        <v>1990</v>
      </c>
      <c r="B328" s="2">
        <v>45315.350694444445</v>
      </c>
      <c r="C328" t="str">
        <f>VLOOKUP(A328, user_table!$A:$B, 2, FALSE)</f>
        <v>Female</v>
      </c>
      <c r="D328" t="str">
        <f>VLOOKUP(A328, user_table!$A:$F, 5, FALSE)</f>
        <v>Desktop</v>
      </c>
      <c r="E328" t="str">
        <f>VLOOKUP(A328, user_table!$A:$F, 6, FALSE)</f>
        <v>Social</v>
      </c>
    </row>
    <row r="329" spans="1:5">
      <c r="A329">
        <v>1052</v>
      </c>
      <c r="B329" s="2">
        <v>45311.818055555559</v>
      </c>
      <c r="C329" t="str">
        <f>VLOOKUP(A329, user_table!$A:$B, 2, FALSE)</f>
        <v>Female</v>
      </c>
      <c r="D329" t="str">
        <f>VLOOKUP(A329, user_table!$A:$F, 5, FALSE)</f>
        <v>Desktop</v>
      </c>
      <c r="E329" t="str">
        <f>VLOOKUP(A329, user_table!$A:$F, 6, FALSE)</f>
        <v>Social</v>
      </c>
    </row>
    <row r="330" spans="1:5">
      <c r="A330">
        <v>1668</v>
      </c>
      <c r="B330" s="2">
        <v>45380.934027777781</v>
      </c>
      <c r="C330" t="str">
        <f>VLOOKUP(A330, user_table!$A:$B, 2, FALSE)</f>
        <v>Male</v>
      </c>
      <c r="D330" t="str">
        <f>VLOOKUP(A330, user_table!$A:$F, 5, FALSE)</f>
        <v>Mobile</v>
      </c>
      <c r="E330" t="str">
        <f>VLOOKUP(A330, user_table!$A:$F, 6, FALSE)</f>
        <v>Email</v>
      </c>
    </row>
    <row r="331" spans="1:5">
      <c r="A331">
        <v>1554</v>
      </c>
      <c r="B331" s="2">
        <v>45297.538888888892</v>
      </c>
      <c r="C331" t="str">
        <f>VLOOKUP(A331, user_table!$A:$B, 2, FALSE)</f>
        <v>Female</v>
      </c>
      <c r="D331" t="str">
        <f>VLOOKUP(A331, user_table!$A:$F, 5, FALSE)</f>
        <v>Desktop</v>
      </c>
      <c r="E331" t="str">
        <f>VLOOKUP(A331, user_table!$A:$F, 6, FALSE)</f>
        <v>Email</v>
      </c>
    </row>
    <row r="332" spans="1:5">
      <c r="A332">
        <v>1016</v>
      </c>
      <c r="B332" s="2">
        <v>45335.927083333336</v>
      </c>
      <c r="C332" t="str">
        <f>VLOOKUP(A332, user_table!$A:$B, 2, FALSE)</f>
        <v>Male</v>
      </c>
      <c r="D332" t="str">
        <f>VLOOKUP(A332, user_table!$A:$F, 5, FALSE)</f>
        <v>Desktop</v>
      </c>
      <c r="E332" t="str">
        <f>VLOOKUP(A332, user_table!$A:$F, 6, FALSE)</f>
        <v>Paid</v>
      </c>
    </row>
    <row r="333" spans="1:5">
      <c r="A333">
        <v>1981</v>
      </c>
      <c r="B333" s="2">
        <v>45299.979166666664</v>
      </c>
      <c r="C333" t="str">
        <f>VLOOKUP(A333, user_table!$A:$B, 2, FALSE)</f>
        <v>Male</v>
      </c>
      <c r="D333" t="str">
        <f>VLOOKUP(A333, user_table!$A:$F, 5, FALSE)</f>
        <v>Desktop</v>
      </c>
      <c r="E333" t="str">
        <f>VLOOKUP(A333, user_table!$A:$F, 6, FALSE)</f>
        <v>Email</v>
      </c>
    </row>
    <row r="334" spans="1:5">
      <c r="A334">
        <v>1243</v>
      </c>
      <c r="B334" s="2">
        <v>45327.459027777775</v>
      </c>
      <c r="C334" t="str">
        <f>VLOOKUP(A334, user_table!$A:$B, 2, FALSE)</f>
        <v>Female</v>
      </c>
      <c r="D334" t="str">
        <f>VLOOKUP(A334, user_table!$A:$F, 5, FALSE)</f>
        <v>Mobile</v>
      </c>
      <c r="E334" t="str">
        <f>VLOOKUP(A334, user_table!$A:$F, 6, FALSE)</f>
        <v>Email</v>
      </c>
    </row>
    <row r="335" spans="1:5">
      <c r="A335">
        <v>1171</v>
      </c>
      <c r="B335" s="2">
        <v>45336.388194444444</v>
      </c>
      <c r="C335" t="str">
        <f>VLOOKUP(A335, user_table!$A:$B, 2, FALSE)</f>
        <v>Female</v>
      </c>
      <c r="D335" t="str">
        <f>VLOOKUP(A335, user_table!$A:$F, 5, FALSE)</f>
        <v>Desktop</v>
      </c>
      <c r="E335" t="str">
        <f>VLOOKUP(A335, user_table!$A:$F, 6, FALSE)</f>
        <v>Email</v>
      </c>
    </row>
    <row r="336" spans="1:5">
      <c r="A336">
        <v>1752</v>
      </c>
      <c r="B336" s="2">
        <v>45328.662499999999</v>
      </c>
      <c r="C336" t="str">
        <f>VLOOKUP(A336, user_table!$A:$B, 2, FALSE)</f>
        <v>Female</v>
      </c>
      <c r="D336" t="str">
        <f>VLOOKUP(A336, user_table!$A:$F, 5, FALSE)</f>
        <v>Desktop</v>
      </c>
      <c r="E336" t="str">
        <f>VLOOKUP(A336, user_table!$A:$F, 6, FALSE)</f>
        <v>Social</v>
      </c>
    </row>
    <row r="337" spans="1:5">
      <c r="A337">
        <v>1716</v>
      </c>
      <c r="B337" s="2">
        <v>45382.879166666666</v>
      </c>
      <c r="C337" t="str">
        <f>VLOOKUP(A337, user_table!$A:$B, 2, FALSE)</f>
        <v>Female</v>
      </c>
      <c r="D337" t="str">
        <f>VLOOKUP(A337, user_table!$A:$F, 5, FALSE)</f>
        <v>Desktop</v>
      </c>
      <c r="E337" t="str">
        <f>VLOOKUP(A337, user_table!$A:$F, 6, FALSE)</f>
        <v>Email</v>
      </c>
    </row>
    <row r="338" spans="1:5">
      <c r="A338">
        <v>1493</v>
      </c>
      <c r="B338" s="2">
        <v>45322.179861111108</v>
      </c>
      <c r="C338" t="str">
        <f>VLOOKUP(A338, user_table!$A:$B, 2, FALSE)</f>
        <v>Male</v>
      </c>
      <c r="D338" t="str">
        <f>VLOOKUP(A338, user_table!$A:$F, 5, FALSE)</f>
        <v>Desktop</v>
      </c>
      <c r="E338" t="str">
        <f>VLOOKUP(A338, user_table!$A:$F, 6, FALSE)</f>
        <v>Organic</v>
      </c>
    </row>
    <row r="339" spans="1:5">
      <c r="A339">
        <v>1219</v>
      </c>
      <c r="B339" s="2">
        <v>45349.428472222222</v>
      </c>
      <c r="C339" t="str">
        <f>VLOOKUP(A339, user_table!$A:$B, 2, FALSE)</f>
        <v>Female</v>
      </c>
      <c r="D339" t="str">
        <f>VLOOKUP(A339, user_table!$A:$F, 5, FALSE)</f>
        <v>Desktop</v>
      </c>
      <c r="E339" t="str">
        <f>VLOOKUP(A339, user_table!$A:$F, 6, FALSE)</f>
        <v>Paid</v>
      </c>
    </row>
    <row r="340" spans="1:5">
      <c r="A340">
        <v>1870</v>
      </c>
      <c r="B340" s="2">
        <v>45346.820138888892</v>
      </c>
      <c r="C340" t="str">
        <f>VLOOKUP(A340, user_table!$A:$B, 2, FALSE)</f>
        <v>Female</v>
      </c>
      <c r="D340" t="str">
        <f>VLOOKUP(A340, user_table!$A:$F, 5, FALSE)</f>
        <v>Mobile</v>
      </c>
      <c r="E340" t="str">
        <f>VLOOKUP(A340, user_table!$A:$F, 6, FALSE)</f>
        <v>Organic</v>
      </c>
    </row>
    <row r="341" spans="1:5">
      <c r="A341">
        <v>1726</v>
      </c>
      <c r="B341" s="2">
        <v>45304.269444444442</v>
      </c>
      <c r="C341" t="str">
        <f>VLOOKUP(A341, user_table!$A:$B, 2, FALSE)</f>
        <v>Female</v>
      </c>
      <c r="D341" t="str">
        <f>VLOOKUP(A341, user_table!$A:$F, 5, FALSE)</f>
        <v>Mobile</v>
      </c>
      <c r="E341" t="str">
        <f>VLOOKUP(A341, user_table!$A:$F, 6, FALSE)</f>
        <v>Organic</v>
      </c>
    </row>
    <row r="342" spans="1:5">
      <c r="A342">
        <v>1169</v>
      </c>
      <c r="B342" s="2">
        <v>45320.574305555558</v>
      </c>
      <c r="C342" t="str">
        <f>VLOOKUP(A342, user_table!$A:$B, 2, FALSE)</f>
        <v>Male</v>
      </c>
      <c r="D342" t="str">
        <f>VLOOKUP(A342, user_table!$A:$F, 5, FALSE)</f>
        <v>Desktop</v>
      </c>
      <c r="E342" t="str">
        <f>VLOOKUP(A342, user_table!$A:$F, 6, FALSE)</f>
        <v>Paid</v>
      </c>
    </row>
    <row r="343" spans="1:5">
      <c r="A343">
        <v>1887</v>
      </c>
      <c r="B343" s="2">
        <v>45355.704861111109</v>
      </c>
      <c r="C343" t="str">
        <f>VLOOKUP(A343, user_table!$A:$B, 2, FALSE)</f>
        <v>Female</v>
      </c>
      <c r="D343" t="str">
        <f>VLOOKUP(A343, user_table!$A:$F, 5, FALSE)</f>
        <v>Desktop</v>
      </c>
      <c r="E343" t="str">
        <f>VLOOKUP(A343, user_table!$A:$F, 6, FALSE)</f>
        <v>Social</v>
      </c>
    </row>
    <row r="344" spans="1:5">
      <c r="A344">
        <v>1003</v>
      </c>
      <c r="B344" s="2">
        <v>45340.063888888886</v>
      </c>
      <c r="C344" t="str">
        <f>VLOOKUP(A344, user_table!$A:$B, 2, FALSE)</f>
        <v>Female</v>
      </c>
      <c r="D344" t="str">
        <f>VLOOKUP(A344, user_table!$A:$F, 5, FALSE)</f>
        <v>Mobile</v>
      </c>
      <c r="E344" t="str">
        <f>VLOOKUP(A344, user_table!$A:$F, 6, FALSE)</f>
        <v>Social</v>
      </c>
    </row>
    <row r="345" spans="1:5">
      <c r="A345">
        <v>1400</v>
      </c>
      <c r="B345" s="2">
        <v>45313.09652777778</v>
      </c>
      <c r="C345" t="str">
        <f>VLOOKUP(A345, user_table!$A:$B, 2, FALSE)</f>
        <v>Female</v>
      </c>
      <c r="D345" t="str">
        <f>VLOOKUP(A345, user_table!$A:$F, 5, FALSE)</f>
        <v>Desktop</v>
      </c>
      <c r="E345" t="str">
        <f>VLOOKUP(A345, user_table!$A:$F, 6, FALSE)</f>
        <v>Organic</v>
      </c>
    </row>
    <row r="346" spans="1:5">
      <c r="A346">
        <v>1989</v>
      </c>
      <c r="B346" s="2">
        <v>45357.505555555559</v>
      </c>
      <c r="C346" t="str">
        <f>VLOOKUP(A346, user_table!$A:$B, 2, FALSE)</f>
        <v>Male</v>
      </c>
      <c r="D346" t="str">
        <f>VLOOKUP(A346, user_table!$A:$F, 5, FALSE)</f>
        <v>Mobile</v>
      </c>
      <c r="E346" t="str">
        <f>VLOOKUP(A346, user_table!$A:$F, 6, FALSE)</f>
        <v>Organic</v>
      </c>
    </row>
    <row r="347" spans="1:5">
      <c r="A347">
        <v>1466</v>
      </c>
      <c r="B347" s="2">
        <v>45360.750694444447</v>
      </c>
      <c r="C347" t="str">
        <f>VLOOKUP(A347, user_table!$A:$B, 2, FALSE)</f>
        <v>Male</v>
      </c>
      <c r="D347" t="str">
        <f>VLOOKUP(A347, user_table!$A:$F, 5, FALSE)</f>
        <v>Desktop</v>
      </c>
      <c r="E347" t="str">
        <f>VLOOKUP(A347, user_table!$A:$F, 6, FALSE)</f>
        <v>Direct</v>
      </c>
    </row>
    <row r="348" spans="1:5">
      <c r="A348">
        <v>1293</v>
      </c>
      <c r="B348" s="2">
        <v>45315.288888888892</v>
      </c>
      <c r="C348" t="str">
        <f>VLOOKUP(A348, user_table!$A:$B, 2, FALSE)</f>
        <v>Female</v>
      </c>
      <c r="D348" t="str">
        <f>VLOOKUP(A348, user_table!$A:$F, 5, FALSE)</f>
        <v>Tablet</v>
      </c>
      <c r="E348" t="str">
        <f>VLOOKUP(A348, user_table!$A:$F, 6, FALSE)</f>
        <v>Organic</v>
      </c>
    </row>
    <row r="349" spans="1:5">
      <c r="A349">
        <v>1898</v>
      </c>
      <c r="B349" s="2">
        <v>45318.052083333336</v>
      </c>
      <c r="C349" t="str">
        <f>VLOOKUP(A349, user_table!$A:$B, 2, FALSE)</f>
        <v>Female</v>
      </c>
      <c r="D349" t="str">
        <f>VLOOKUP(A349, user_table!$A:$F, 5, FALSE)</f>
        <v>Desktop</v>
      </c>
      <c r="E349" t="str">
        <f>VLOOKUP(A349, user_table!$A:$F, 6, FALSE)</f>
        <v>Direct</v>
      </c>
    </row>
    <row r="350" spans="1:5">
      <c r="A350">
        <v>1570</v>
      </c>
      <c r="B350" s="2">
        <v>45297.585416666669</v>
      </c>
      <c r="C350" t="str">
        <f>VLOOKUP(A350, user_table!$A:$B, 2, FALSE)</f>
        <v>Male</v>
      </c>
      <c r="D350" t="str">
        <f>VLOOKUP(A350, user_table!$A:$F, 5, FALSE)</f>
        <v>Mobile</v>
      </c>
      <c r="E350" t="str">
        <f>VLOOKUP(A350, user_table!$A:$F, 6, FALSE)</f>
        <v>Social</v>
      </c>
    </row>
    <row r="351" spans="1:5">
      <c r="A351">
        <v>1499</v>
      </c>
      <c r="B351" s="2">
        <v>45339.925000000003</v>
      </c>
      <c r="C351" t="str">
        <f>VLOOKUP(A351, user_table!$A:$B, 2, FALSE)</f>
        <v>Female</v>
      </c>
      <c r="D351" t="str">
        <f>VLOOKUP(A351, user_table!$A:$F, 5, FALSE)</f>
        <v>Desktop</v>
      </c>
      <c r="E351" t="str">
        <f>VLOOKUP(A351, user_table!$A:$F, 6, FALSE)</f>
        <v>Paid</v>
      </c>
    </row>
    <row r="352" spans="1:5">
      <c r="A352">
        <v>1159</v>
      </c>
      <c r="B352" s="2">
        <v>45328.494444444441</v>
      </c>
      <c r="C352" t="str">
        <f>VLOOKUP(A352, user_table!$A:$B, 2, FALSE)</f>
        <v>Male</v>
      </c>
      <c r="D352" t="str">
        <f>VLOOKUP(A352, user_table!$A:$F, 5, FALSE)</f>
        <v>Tablet</v>
      </c>
      <c r="E352" t="str">
        <f>VLOOKUP(A352, user_table!$A:$F, 6, FALSE)</f>
        <v>Paid</v>
      </c>
    </row>
    <row r="353" spans="1:5">
      <c r="A353">
        <v>1717</v>
      </c>
      <c r="B353" s="2">
        <v>45352.684027777781</v>
      </c>
      <c r="C353" t="str">
        <f>VLOOKUP(A353, user_table!$A:$B, 2, FALSE)</f>
        <v>Female</v>
      </c>
      <c r="D353" t="str">
        <f>VLOOKUP(A353, user_table!$A:$F, 5, FALSE)</f>
        <v>Desktop</v>
      </c>
      <c r="E353" t="str">
        <f>VLOOKUP(A353, user_table!$A:$F, 6, FALSE)</f>
        <v>Organic</v>
      </c>
    </row>
    <row r="354" spans="1:5">
      <c r="A354">
        <v>1304</v>
      </c>
      <c r="B354" s="2">
        <v>45374.154861111114</v>
      </c>
      <c r="C354" t="str">
        <f>VLOOKUP(A354, user_table!$A:$B, 2, FALSE)</f>
        <v>Female</v>
      </c>
      <c r="D354" t="str">
        <f>VLOOKUP(A354, user_table!$A:$F, 5, FALSE)</f>
        <v>Mobile</v>
      </c>
      <c r="E354" t="str">
        <f>VLOOKUP(A354, user_table!$A:$F, 6, FALSE)</f>
        <v>Email</v>
      </c>
    </row>
    <row r="355" spans="1:5">
      <c r="A355">
        <v>1223</v>
      </c>
      <c r="B355" s="2">
        <v>45296.307638888888</v>
      </c>
      <c r="C355" t="str">
        <f>VLOOKUP(A355, user_table!$A:$B, 2, FALSE)</f>
        <v>Male</v>
      </c>
      <c r="D355" t="str">
        <f>VLOOKUP(A355, user_table!$A:$F, 5, FALSE)</f>
        <v>Desktop</v>
      </c>
      <c r="E355" t="str">
        <f>VLOOKUP(A355, user_table!$A:$F, 6, FALSE)</f>
        <v>Email</v>
      </c>
    </row>
    <row r="356" spans="1:5">
      <c r="A356">
        <v>1838</v>
      </c>
      <c r="B356" s="2">
        <v>45355.811111111114</v>
      </c>
      <c r="C356" t="str">
        <f>VLOOKUP(A356, user_table!$A:$B, 2, FALSE)</f>
        <v>Male</v>
      </c>
      <c r="D356" t="str">
        <f>VLOOKUP(A356, user_table!$A:$F, 5, FALSE)</f>
        <v>Mobile</v>
      </c>
      <c r="E356" t="str">
        <f>VLOOKUP(A356, user_table!$A:$F, 6, FALSE)</f>
        <v>Paid</v>
      </c>
    </row>
    <row r="357" spans="1:5">
      <c r="A357">
        <v>1594</v>
      </c>
      <c r="B357" s="2">
        <v>45315.650694444441</v>
      </c>
      <c r="C357" t="str">
        <f>VLOOKUP(A357, user_table!$A:$B, 2, FALSE)</f>
        <v>Male</v>
      </c>
      <c r="D357" t="str">
        <f>VLOOKUP(A357, user_table!$A:$F, 5, FALSE)</f>
        <v>Desktop</v>
      </c>
      <c r="E357" t="str">
        <f>VLOOKUP(A357, user_table!$A:$F, 6, FALSE)</f>
        <v>Social</v>
      </c>
    </row>
    <row r="358" spans="1:5">
      <c r="A358">
        <v>1556</v>
      </c>
      <c r="B358" s="2">
        <v>45363.473611111112</v>
      </c>
      <c r="C358" t="str">
        <f>VLOOKUP(A358, user_table!$A:$B, 2, FALSE)</f>
        <v>Male</v>
      </c>
      <c r="D358" t="str">
        <f>VLOOKUP(A358, user_table!$A:$F, 5, FALSE)</f>
        <v>Desktop</v>
      </c>
      <c r="E358" t="str">
        <f>VLOOKUP(A358, user_table!$A:$F, 6, FALSE)</f>
        <v>Paid</v>
      </c>
    </row>
    <row r="359" spans="1:5">
      <c r="A359">
        <v>1692</v>
      </c>
      <c r="B359" s="2">
        <v>45313.365972222222</v>
      </c>
      <c r="C359" t="str">
        <f>VLOOKUP(A359, user_table!$A:$B, 2, FALSE)</f>
        <v>Male</v>
      </c>
      <c r="D359" t="str">
        <f>VLOOKUP(A359, user_table!$A:$F, 5, FALSE)</f>
        <v>Mobile</v>
      </c>
      <c r="E359" t="str">
        <f>VLOOKUP(A359, user_table!$A:$F, 6, FALSE)</f>
        <v>Direct</v>
      </c>
    </row>
    <row r="360" spans="1:5">
      <c r="A360">
        <v>1322</v>
      </c>
      <c r="B360" s="2">
        <v>45381.095833333333</v>
      </c>
      <c r="C360" t="str">
        <f>VLOOKUP(A360, user_table!$A:$B, 2, FALSE)</f>
        <v>Female</v>
      </c>
      <c r="D360" t="str">
        <f>VLOOKUP(A360, user_table!$A:$F, 5, FALSE)</f>
        <v>Mobile</v>
      </c>
      <c r="E360" t="str">
        <f>VLOOKUP(A360, user_table!$A:$F, 6, FALSE)</f>
        <v>Organic</v>
      </c>
    </row>
    <row r="361" spans="1:5">
      <c r="A361">
        <v>1059</v>
      </c>
      <c r="B361" s="2">
        <v>45296.502083333333</v>
      </c>
      <c r="C361" t="str">
        <f>VLOOKUP(A361, user_table!$A:$B, 2, FALSE)</f>
        <v>Male</v>
      </c>
      <c r="D361" t="str">
        <f>VLOOKUP(A361, user_table!$A:$F, 5, FALSE)</f>
        <v>Tablet</v>
      </c>
      <c r="E361" t="str">
        <f>VLOOKUP(A361, user_table!$A:$F, 6, FALSE)</f>
        <v>Paid</v>
      </c>
    </row>
    <row r="362" spans="1:5">
      <c r="A362">
        <v>1673</v>
      </c>
      <c r="B362" s="2">
        <v>45313.78402777778</v>
      </c>
      <c r="C362" t="str">
        <f>VLOOKUP(A362, user_table!$A:$B, 2, FALSE)</f>
        <v>Male</v>
      </c>
      <c r="D362" t="str">
        <f>VLOOKUP(A362, user_table!$A:$F, 5, FALSE)</f>
        <v>Tablet</v>
      </c>
      <c r="E362" t="str">
        <f>VLOOKUP(A362, user_table!$A:$F, 6, FALSE)</f>
        <v>Paid</v>
      </c>
    </row>
    <row r="363" spans="1:5">
      <c r="A363">
        <v>1848</v>
      </c>
      <c r="B363" s="2">
        <v>45320.320138888892</v>
      </c>
      <c r="C363" t="str">
        <f>VLOOKUP(A363, user_table!$A:$B, 2, FALSE)</f>
        <v>Female</v>
      </c>
      <c r="D363" t="str">
        <f>VLOOKUP(A363, user_table!$A:$F, 5, FALSE)</f>
        <v>Desktop</v>
      </c>
      <c r="E363" t="str">
        <f>VLOOKUP(A363, user_table!$A:$F, 6, FALSE)</f>
        <v>Direct</v>
      </c>
    </row>
    <row r="364" spans="1:5">
      <c r="A364">
        <v>1489</v>
      </c>
      <c r="B364" s="2">
        <v>45321.884027777778</v>
      </c>
      <c r="C364" t="str">
        <f>VLOOKUP(A364, user_table!$A:$B, 2, FALSE)</f>
        <v>Female</v>
      </c>
      <c r="D364" t="str">
        <f>VLOOKUP(A364, user_table!$A:$F, 5, FALSE)</f>
        <v>Mobile</v>
      </c>
      <c r="E364" t="str">
        <f>VLOOKUP(A364, user_table!$A:$F, 6, FALSE)</f>
        <v>Organic</v>
      </c>
    </row>
    <row r="365" spans="1:5">
      <c r="A365">
        <v>1515</v>
      </c>
      <c r="B365" s="2">
        <v>45327.851388888892</v>
      </c>
      <c r="C365" t="str">
        <f>VLOOKUP(A365, user_table!$A:$B, 2, FALSE)</f>
        <v>Male</v>
      </c>
      <c r="D365" t="str">
        <f>VLOOKUP(A365, user_table!$A:$F, 5, FALSE)</f>
        <v>Mobile</v>
      </c>
      <c r="E365" t="str">
        <f>VLOOKUP(A365, user_table!$A:$F, 6, FALSE)</f>
        <v>Social</v>
      </c>
    </row>
    <row r="366" spans="1:5">
      <c r="A366">
        <v>1784</v>
      </c>
      <c r="B366" s="2">
        <v>45358.038194444445</v>
      </c>
      <c r="C366" t="str">
        <f>VLOOKUP(A366, user_table!$A:$B, 2, FALSE)</f>
        <v>Male</v>
      </c>
      <c r="D366" t="str">
        <f>VLOOKUP(A366, user_table!$A:$F, 5, FALSE)</f>
        <v>Mobile</v>
      </c>
      <c r="E366" t="str">
        <f>VLOOKUP(A366, user_table!$A:$F, 6, FALSE)</f>
        <v>Direct</v>
      </c>
    </row>
    <row r="367" spans="1:5">
      <c r="A367">
        <v>1806</v>
      </c>
      <c r="B367" s="2">
        <v>45380.020833333336</v>
      </c>
      <c r="C367" t="str">
        <f>VLOOKUP(A367, user_table!$A:$B, 2, FALSE)</f>
        <v>Female</v>
      </c>
      <c r="D367" t="str">
        <f>VLOOKUP(A367, user_table!$A:$F, 5, FALSE)</f>
        <v>Mobile</v>
      </c>
      <c r="E367" t="str">
        <f>VLOOKUP(A367, user_table!$A:$F, 6, FALSE)</f>
        <v>Organic</v>
      </c>
    </row>
    <row r="368" spans="1:5">
      <c r="A368">
        <v>1877</v>
      </c>
      <c r="B368" s="2">
        <v>45309.84097222222</v>
      </c>
      <c r="C368" t="str">
        <f>VLOOKUP(A368, user_table!$A:$B, 2, FALSE)</f>
        <v>Female</v>
      </c>
      <c r="D368" t="str">
        <f>VLOOKUP(A368, user_table!$A:$F, 5, FALSE)</f>
        <v>Mobile</v>
      </c>
      <c r="E368" t="str">
        <f>VLOOKUP(A368, user_table!$A:$F, 6, FALSE)</f>
        <v>Organic</v>
      </c>
    </row>
    <row r="369" spans="1:5">
      <c r="A369">
        <v>1521</v>
      </c>
      <c r="B369" s="2">
        <v>45369.009722222225</v>
      </c>
      <c r="C369" t="str">
        <f>VLOOKUP(A369, user_table!$A:$B, 2, FALSE)</f>
        <v>Female</v>
      </c>
      <c r="D369" t="str">
        <f>VLOOKUP(A369, user_table!$A:$F, 5, FALSE)</f>
        <v>Desktop</v>
      </c>
      <c r="E369" t="str">
        <f>VLOOKUP(A369, user_table!$A:$F, 6, FALSE)</f>
        <v>Social</v>
      </c>
    </row>
    <row r="370" spans="1:5">
      <c r="A370">
        <v>1083</v>
      </c>
      <c r="B370" s="2">
        <v>45325.82708333333</v>
      </c>
      <c r="C370" t="str">
        <f>VLOOKUP(A370, user_table!$A:$B, 2, FALSE)</f>
        <v>Male</v>
      </c>
      <c r="D370" t="str">
        <f>VLOOKUP(A370, user_table!$A:$F, 5, FALSE)</f>
        <v>Mobile</v>
      </c>
      <c r="E370" t="str">
        <f>VLOOKUP(A370, user_table!$A:$F, 6, FALSE)</f>
        <v>Organic</v>
      </c>
    </row>
    <row r="371" spans="1:5">
      <c r="A371">
        <v>1191</v>
      </c>
      <c r="B371" s="2">
        <v>45332.947916666664</v>
      </c>
      <c r="C371" t="str">
        <f>VLOOKUP(A371, user_table!$A:$B, 2, FALSE)</f>
        <v>Male</v>
      </c>
      <c r="D371" t="str">
        <f>VLOOKUP(A371, user_table!$A:$F, 5, FALSE)</f>
        <v>Desktop</v>
      </c>
      <c r="E371" t="str">
        <f>VLOOKUP(A371, user_table!$A:$F, 6, FALSE)</f>
        <v>Social</v>
      </c>
    </row>
    <row r="372" spans="1:5">
      <c r="A372">
        <v>1767</v>
      </c>
      <c r="B372" s="2">
        <v>45375.352083333331</v>
      </c>
      <c r="C372" t="str">
        <f>VLOOKUP(A372, user_table!$A:$B, 2, FALSE)</f>
        <v>Female</v>
      </c>
      <c r="D372" t="str">
        <f>VLOOKUP(A372, user_table!$A:$F, 5, FALSE)</f>
        <v>Tablet</v>
      </c>
      <c r="E372" t="str">
        <f>VLOOKUP(A372, user_table!$A:$F, 6, FALSE)</f>
        <v>Organic</v>
      </c>
    </row>
    <row r="373" spans="1:5">
      <c r="A373">
        <v>1610</v>
      </c>
      <c r="B373" s="2">
        <v>45341.478472222225</v>
      </c>
      <c r="C373" t="str">
        <f>VLOOKUP(A373, user_table!$A:$B, 2, FALSE)</f>
        <v>Female</v>
      </c>
      <c r="D373" t="str">
        <f>VLOOKUP(A373, user_table!$A:$F, 5, FALSE)</f>
        <v>Desktop</v>
      </c>
      <c r="E373" t="str">
        <f>VLOOKUP(A373, user_table!$A:$F, 6, FALSE)</f>
        <v>Direct</v>
      </c>
    </row>
    <row r="374" spans="1:5">
      <c r="A374">
        <v>1724</v>
      </c>
      <c r="B374" s="2">
        <v>45325.270138888889</v>
      </c>
      <c r="C374" t="str">
        <f>VLOOKUP(A374, user_table!$A:$B, 2, FALSE)</f>
        <v>Female</v>
      </c>
      <c r="D374" t="str">
        <f>VLOOKUP(A374, user_table!$A:$F, 5, FALSE)</f>
        <v>Tablet</v>
      </c>
      <c r="E374" t="str">
        <f>VLOOKUP(A374, user_table!$A:$F, 6, FALSE)</f>
        <v>Social</v>
      </c>
    </row>
    <row r="375" spans="1:5">
      <c r="A375">
        <v>1241</v>
      </c>
      <c r="B375" s="2">
        <v>45331.897916666669</v>
      </c>
      <c r="C375" t="str">
        <f>VLOOKUP(A375, user_table!$A:$B, 2, FALSE)</f>
        <v>Female</v>
      </c>
      <c r="D375" t="str">
        <f>VLOOKUP(A375, user_table!$A:$F, 5, FALSE)</f>
        <v>Desktop</v>
      </c>
      <c r="E375" t="str">
        <f>VLOOKUP(A375, user_table!$A:$F, 6, FALSE)</f>
        <v>Direct</v>
      </c>
    </row>
    <row r="376" spans="1:5">
      <c r="A376">
        <v>1414</v>
      </c>
      <c r="B376" s="2">
        <v>45372.525694444441</v>
      </c>
      <c r="C376" t="str">
        <f>VLOOKUP(A376, user_table!$A:$B, 2, FALSE)</f>
        <v>Female</v>
      </c>
      <c r="D376" t="str">
        <f>VLOOKUP(A376, user_table!$A:$F, 5, FALSE)</f>
        <v>Tablet</v>
      </c>
      <c r="E376" t="str">
        <f>VLOOKUP(A376, user_table!$A:$F, 6, FALSE)</f>
        <v>Social</v>
      </c>
    </row>
    <row r="377" spans="1:5">
      <c r="A377">
        <v>1123</v>
      </c>
      <c r="B377" s="2">
        <v>45306.022222222222</v>
      </c>
      <c r="C377" t="str">
        <f>VLOOKUP(A377, user_table!$A:$B, 2, FALSE)</f>
        <v>Male</v>
      </c>
      <c r="D377" t="str">
        <f>VLOOKUP(A377, user_table!$A:$F, 5, FALSE)</f>
        <v>Tablet</v>
      </c>
      <c r="E377" t="str">
        <f>VLOOKUP(A377, user_table!$A:$F, 6, FALSE)</f>
        <v>Email</v>
      </c>
    </row>
    <row r="378" spans="1:5">
      <c r="A378">
        <v>1584</v>
      </c>
      <c r="B378" s="2">
        <v>45377.482638888891</v>
      </c>
      <c r="C378" t="str">
        <f>VLOOKUP(A378, user_table!$A:$B, 2, FALSE)</f>
        <v>Male</v>
      </c>
      <c r="D378" t="str">
        <f>VLOOKUP(A378, user_table!$A:$F, 5, FALSE)</f>
        <v>Desktop</v>
      </c>
      <c r="E378" t="str">
        <f>VLOOKUP(A378, user_table!$A:$F, 6, FALSE)</f>
        <v>Direct</v>
      </c>
    </row>
    <row r="379" spans="1:5">
      <c r="A379">
        <v>1854</v>
      </c>
      <c r="B379" s="2">
        <v>45375.818055555559</v>
      </c>
      <c r="C379" t="str">
        <f>VLOOKUP(A379, user_table!$A:$B, 2, FALSE)</f>
        <v>Female</v>
      </c>
      <c r="D379" t="str">
        <f>VLOOKUP(A379, user_table!$A:$F, 5, FALSE)</f>
        <v>Tablet</v>
      </c>
      <c r="E379" t="str">
        <f>VLOOKUP(A379, user_table!$A:$F, 6, FALSE)</f>
        <v>Paid</v>
      </c>
    </row>
    <row r="380" spans="1:5">
      <c r="A380">
        <v>1593</v>
      </c>
      <c r="B380" s="2">
        <v>45329.404861111114</v>
      </c>
      <c r="C380" t="str">
        <f>VLOOKUP(A380, user_table!$A:$B, 2, FALSE)</f>
        <v>Male</v>
      </c>
      <c r="D380" t="str">
        <f>VLOOKUP(A380, user_table!$A:$F, 5, FALSE)</f>
        <v>Desktop</v>
      </c>
      <c r="E380" t="str">
        <f>VLOOKUP(A380, user_table!$A:$F, 6, FALSE)</f>
        <v>Organic</v>
      </c>
    </row>
    <row r="381" spans="1:5">
      <c r="A381">
        <v>1609</v>
      </c>
      <c r="B381" s="2">
        <v>45306.62777777778</v>
      </c>
      <c r="C381" t="str">
        <f>VLOOKUP(A381, user_table!$A:$B, 2, FALSE)</f>
        <v>Male</v>
      </c>
      <c r="D381" t="str">
        <f>VLOOKUP(A381, user_table!$A:$F, 5, FALSE)</f>
        <v>Desktop</v>
      </c>
      <c r="E381" t="str">
        <f>VLOOKUP(A381, user_table!$A:$F, 6, FALSE)</f>
        <v>Social</v>
      </c>
    </row>
    <row r="382" spans="1:5">
      <c r="A382">
        <v>1041</v>
      </c>
      <c r="B382" s="2">
        <v>45336.361111111109</v>
      </c>
      <c r="C382" t="str">
        <f>VLOOKUP(A382, user_table!$A:$B, 2, FALSE)</f>
        <v>Male</v>
      </c>
      <c r="D382" t="str">
        <f>VLOOKUP(A382, user_table!$A:$F, 5, FALSE)</f>
        <v>Desktop</v>
      </c>
      <c r="E382" t="str">
        <f>VLOOKUP(A382, user_table!$A:$F, 6, FALSE)</f>
        <v>Paid</v>
      </c>
    </row>
    <row r="383" spans="1:5">
      <c r="A383">
        <v>1084</v>
      </c>
      <c r="B383" s="2">
        <v>45334.344444444447</v>
      </c>
      <c r="C383" t="str">
        <f>VLOOKUP(A383, user_table!$A:$B, 2, FALSE)</f>
        <v>Male</v>
      </c>
      <c r="D383" t="str">
        <f>VLOOKUP(A383, user_table!$A:$F, 5, FALSE)</f>
        <v>Mobile</v>
      </c>
      <c r="E383" t="str">
        <f>VLOOKUP(A383, user_table!$A:$F, 6, FALSE)</f>
        <v>Organic</v>
      </c>
    </row>
    <row r="384" spans="1:5">
      <c r="A384">
        <v>1969</v>
      </c>
      <c r="B384" s="2">
        <v>45376.956250000003</v>
      </c>
      <c r="C384" t="str">
        <f>VLOOKUP(A384, user_table!$A:$B, 2, FALSE)</f>
        <v>Female</v>
      </c>
      <c r="D384" t="str">
        <f>VLOOKUP(A384, user_table!$A:$F, 5, FALSE)</f>
        <v>Mobile</v>
      </c>
      <c r="E384" t="str">
        <f>VLOOKUP(A384, user_table!$A:$F, 6, FALSE)</f>
        <v>Organic</v>
      </c>
    </row>
    <row r="385" spans="1:5">
      <c r="A385">
        <v>1846</v>
      </c>
      <c r="B385" s="2">
        <v>45376.383333333331</v>
      </c>
      <c r="C385" t="str">
        <f>VLOOKUP(A385, user_table!$A:$B, 2, FALSE)</f>
        <v>Male</v>
      </c>
      <c r="D385" t="str">
        <f>VLOOKUP(A385, user_table!$A:$F, 5, FALSE)</f>
        <v>Desktop</v>
      </c>
      <c r="E385" t="str">
        <f>VLOOKUP(A385, user_table!$A:$F, 6, FALSE)</f>
        <v>Organic</v>
      </c>
    </row>
    <row r="386" spans="1:5">
      <c r="A386">
        <v>1579</v>
      </c>
      <c r="B386" s="2">
        <v>45312.7</v>
      </c>
      <c r="C386" t="str">
        <f>VLOOKUP(A386, user_table!$A:$B, 2, FALSE)</f>
        <v>Male</v>
      </c>
      <c r="D386" t="str">
        <f>VLOOKUP(A386, user_table!$A:$F, 5, FALSE)</f>
        <v>Desktop</v>
      </c>
      <c r="E386" t="str">
        <f>VLOOKUP(A386, user_table!$A:$F, 6, FALSE)</f>
        <v>Social</v>
      </c>
    </row>
    <row r="387" spans="1:5">
      <c r="A387">
        <v>1536</v>
      </c>
      <c r="B387" s="2">
        <v>45323.07708333333</v>
      </c>
      <c r="C387" t="str">
        <f>VLOOKUP(A387, user_table!$A:$B, 2, FALSE)</f>
        <v>Female</v>
      </c>
      <c r="D387" t="str">
        <f>VLOOKUP(A387, user_table!$A:$F, 5, FALSE)</f>
        <v>Tablet</v>
      </c>
      <c r="E387" t="str">
        <f>VLOOKUP(A387, user_table!$A:$F, 6, FALSE)</f>
        <v>Organic</v>
      </c>
    </row>
    <row r="388" spans="1:5">
      <c r="A388">
        <v>1871</v>
      </c>
      <c r="B388" s="2">
        <v>45369.529166666667</v>
      </c>
      <c r="C388" t="str">
        <f>VLOOKUP(A388, user_table!$A:$B, 2, FALSE)</f>
        <v>Male</v>
      </c>
      <c r="D388" t="str">
        <f>VLOOKUP(A388, user_table!$A:$F, 5, FALSE)</f>
        <v>Desktop</v>
      </c>
      <c r="E388" t="str">
        <f>VLOOKUP(A388, user_table!$A:$F, 6, FALSE)</f>
        <v>Organic</v>
      </c>
    </row>
    <row r="389" spans="1:5">
      <c r="A389">
        <v>1268</v>
      </c>
      <c r="B389" s="2">
        <v>45333.880555555559</v>
      </c>
      <c r="C389" t="str">
        <f>VLOOKUP(A389, user_table!$A:$B, 2, FALSE)</f>
        <v>Female</v>
      </c>
      <c r="D389" t="str">
        <f>VLOOKUP(A389, user_table!$A:$F, 5, FALSE)</f>
        <v>Desktop</v>
      </c>
      <c r="E389" t="str">
        <f>VLOOKUP(A389, user_table!$A:$F, 6, FALSE)</f>
        <v>Organic</v>
      </c>
    </row>
    <row r="390" spans="1:5">
      <c r="A390">
        <v>1210</v>
      </c>
      <c r="B390" s="2">
        <v>45296.854861111111</v>
      </c>
      <c r="C390" t="str">
        <f>VLOOKUP(A390, user_table!$A:$B, 2, FALSE)</f>
        <v>Male</v>
      </c>
      <c r="D390" t="str">
        <f>VLOOKUP(A390, user_table!$A:$F, 5, FALSE)</f>
        <v>Tablet</v>
      </c>
      <c r="E390" t="str">
        <f>VLOOKUP(A390, user_table!$A:$F, 6, FALSE)</f>
        <v>Organic</v>
      </c>
    </row>
    <row r="391" spans="1:5">
      <c r="A391">
        <v>1642</v>
      </c>
      <c r="B391" s="2">
        <v>45330.373611111114</v>
      </c>
      <c r="C391" t="str">
        <f>VLOOKUP(A391, user_table!$A:$B, 2, FALSE)</f>
        <v>Male</v>
      </c>
      <c r="D391" t="str">
        <f>VLOOKUP(A391, user_table!$A:$F, 5, FALSE)</f>
        <v>Desktop</v>
      </c>
      <c r="E391" t="str">
        <f>VLOOKUP(A391, user_table!$A:$F, 6, FALSE)</f>
        <v>Social</v>
      </c>
    </row>
    <row r="392" spans="1:5">
      <c r="A392">
        <v>1245</v>
      </c>
      <c r="B392" s="2">
        <v>45346.51666666667</v>
      </c>
      <c r="C392" t="str">
        <f>VLOOKUP(A392, user_table!$A:$B, 2, FALSE)</f>
        <v>Male</v>
      </c>
      <c r="D392" t="str">
        <f>VLOOKUP(A392, user_table!$A:$F, 5, FALSE)</f>
        <v>Tablet</v>
      </c>
      <c r="E392" t="str">
        <f>VLOOKUP(A392, user_table!$A:$F, 6, FALSE)</f>
        <v>Paid</v>
      </c>
    </row>
    <row r="393" spans="1:5">
      <c r="A393">
        <v>1885</v>
      </c>
      <c r="B393" s="2">
        <v>45297.78125</v>
      </c>
      <c r="C393" t="str">
        <f>VLOOKUP(A393, user_table!$A:$B, 2, FALSE)</f>
        <v>Female</v>
      </c>
      <c r="D393" t="str">
        <f>VLOOKUP(A393, user_table!$A:$F, 5, FALSE)</f>
        <v>Desktop</v>
      </c>
      <c r="E393" t="str">
        <f>VLOOKUP(A393, user_table!$A:$F, 6, FALSE)</f>
        <v>Organic</v>
      </c>
    </row>
    <row r="394" spans="1:5">
      <c r="A394">
        <v>1860</v>
      </c>
      <c r="B394" s="2">
        <v>45366.26458333333</v>
      </c>
      <c r="C394" t="str">
        <f>VLOOKUP(A394, user_table!$A:$B, 2, FALSE)</f>
        <v>Male</v>
      </c>
      <c r="D394" t="str">
        <f>VLOOKUP(A394, user_table!$A:$F, 5, FALSE)</f>
        <v>Desktop</v>
      </c>
      <c r="E394" t="str">
        <f>VLOOKUP(A394, user_table!$A:$F, 6, FALSE)</f>
        <v>Social</v>
      </c>
    </row>
    <row r="395" spans="1:5">
      <c r="A395">
        <v>1135</v>
      </c>
      <c r="B395" s="2">
        <v>45321.898611111108</v>
      </c>
      <c r="C395" t="str">
        <f>VLOOKUP(A395, user_table!$A:$B, 2, FALSE)</f>
        <v>Female</v>
      </c>
      <c r="D395" t="str">
        <f>VLOOKUP(A395, user_table!$A:$F, 5, FALSE)</f>
        <v>Desktop</v>
      </c>
      <c r="E395" t="str">
        <f>VLOOKUP(A395, user_table!$A:$F, 6, FALSE)</f>
        <v>Paid</v>
      </c>
    </row>
    <row r="396" spans="1:5">
      <c r="A396">
        <v>1308</v>
      </c>
      <c r="B396" s="2">
        <v>45374.665277777778</v>
      </c>
      <c r="C396" t="str">
        <f>VLOOKUP(A396, user_table!$A:$B, 2, FALSE)</f>
        <v>Male</v>
      </c>
      <c r="D396" t="str">
        <f>VLOOKUP(A396, user_table!$A:$F, 5, FALSE)</f>
        <v>Desktop</v>
      </c>
      <c r="E396" t="str">
        <f>VLOOKUP(A396, user_table!$A:$F, 6, FALSE)</f>
        <v>Paid</v>
      </c>
    </row>
    <row r="397" spans="1:5">
      <c r="A397">
        <v>1469</v>
      </c>
      <c r="B397" s="2">
        <v>45378.480555555558</v>
      </c>
      <c r="C397" t="str">
        <f>VLOOKUP(A397, user_table!$A:$B, 2, FALSE)</f>
        <v>Male</v>
      </c>
      <c r="D397" t="str">
        <f>VLOOKUP(A397, user_table!$A:$F, 5, FALSE)</f>
        <v>Mobile</v>
      </c>
      <c r="E397" t="str">
        <f>VLOOKUP(A397, user_table!$A:$F, 6, FALSE)</f>
        <v>Organic</v>
      </c>
    </row>
    <row r="398" spans="1:5">
      <c r="A398">
        <v>1952</v>
      </c>
      <c r="B398" s="2">
        <v>45331.245138888888</v>
      </c>
      <c r="C398" t="str">
        <f>VLOOKUP(A398, user_table!$A:$B, 2, FALSE)</f>
        <v>Female</v>
      </c>
      <c r="D398" t="str">
        <f>VLOOKUP(A398, user_table!$A:$F, 5, FALSE)</f>
        <v>Mobile</v>
      </c>
      <c r="E398" t="str">
        <f>VLOOKUP(A398, user_table!$A:$F, 6, FALSE)</f>
        <v>Organic</v>
      </c>
    </row>
    <row r="399" spans="1:5">
      <c r="A399">
        <v>1075</v>
      </c>
      <c r="B399" s="2">
        <v>45377.71597222222</v>
      </c>
      <c r="C399" t="str">
        <f>VLOOKUP(A399, user_table!$A:$B, 2, FALSE)</f>
        <v>Female</v>
      </c>
      <c r="D399" t="str">
        <f>VLOOKUP(A399, user_table!$A:$F, 5, FALSE)</f>
        <v>Tablet</v>
      </c>
      <c r="E399" t="str">
        <f>VLOOKUP(A399, user_table!$A:$F, 6, FALSE)</f>
        <v>Social</v>
      </c>
    </row>
    <row r="400" spans="1:5">
      <c r="A400">
        <v>1010</v>
      </c>
      <c r="B400" s="2">
        <v>45330.145833333336</v>
      </c>
      <c r="C400" t="str">
        <f>VLOOKUP(A400, user_table!$A:$B, 2, FALSE)</f>
        <v>Female</v>
      </c>
      <c r="D400" t="str">
        <f>VLOOKUP(A400, user_table!$A:$F, 5, FALSE)</f>
        <v>Desktop</v>
      </c>
      <c r="E400" t="str">
        <f>VLOOKUP(A400, user_table!$A:$F, 6, FALSE)</f>
        <v>Organic</v>
      </c>
    </row>
    <row r="401" spans="1:5">
      <c r="A401">
        <v>1858</v>
      </c>
      <c r="B401" s="2">
        <v>45309.969444444447</v>
      </c>
      <c r="C401" t="str">
        <f>VLOOKUP(A401, user_table!$A:$B, 2, FALSE)</f>
        <v>Male</v>
      </c>
      <c r="D401" t="str">
        <f>VLOOKUP(A401, user_table!$A:$F, 5, FALSE)</f>
        <v>Desktop</v>
      </c>
      <c r="E401" t="str">
        <f>VLOOKUP(A401, user_table!$A:$F, 6, FALSE)</f>
        <v>Organic</v>
      </c>
    </row>
    <row r="402" spans="1:5">
      <c r="A402">
        <v>1577</v>
      </c>
      <c r="B402" s="2">
        <v>45364.238194444442</v>
      </c>
      <c r="C402" t="str">
        <f>VLOOKUP(A402, user_table!$A:$B, 2, FALSE)</f>
        <v>Male</v>
      </c>
      <c r="D402" t="str">
        <f>VLOOKUP(A402, user_table!$A:$F, 5, FALSE)</f>
        <v>Mobile</v>
      </c>
      <c r="E402" t="str">
        <f>VLOOKUP(A402, user_table!$A:$F, 6, FALSE)</f>
        <v>Social</v>
      </c>
    </row>
    <row r="403" spans="1:5">
      <c r="A403">
        <v>1103</v>
      </c>
      <c r="B403" s="2">
        <v>45335.836805555555</v>
      </c>
      <c r="C403" t="str">
        <f>VLOOKUP(A403, user_table!$A:$B, 2, FALSE)</f>
        <v>Male</v>
      </c>
      <c r="D403" t="str">
        <f>VLOOKUP(A403, user_table!$A:$F, 5, FALSE)</f>
        <v>Desktop</v>
      </c>
      <c r="E403" t="str">
        <f>VLOOKUP(A403, user_table!$A:$F, 6, FALSE)</f>
        <v>Paid</v>
      </c>
    </row>
    <row r="404" spans="1:5">
      <c r="A404">
        <v>1076</v>
      </c>
      <c r="B404" s="2">
        <v>45321.468055555553</v>
      </c>
      <c r="C404" t="str">
        <f>VLOOKUP(A404, user_table!$A:$B, 2, FALSE)</f>
        <v>Female</v>
      </c>
      <c r="D404" t="str">
        <f>VLOOKUP(A404, user_table!$A:$F, 5, FALSE)</f>
        <v>Mobile</v>
      </c>
      <c r="E404" t="str">
        <f>VLOOKUP(A404, user_table!$A:$F, 6, FALSE)</f>
        <v>Email</v>
      </c>
    </row>
    <row r="405" spans="1:5">
      <c r="A405">
        <v>1551</v>
      </c>
      <c r="B405" s="2">
        <v>45332.576388888891</v>
      </c>
      <c r="C405" t="str">
        <f>VLOOKUP(A405, user_table!$A:$B, 2, FALSE)</f>
        <v>Female</v>
      </c>
      <c r="D405" t="str">
        <f>VLOOKUP(A405, user_table!$A:$F, 5, FALSE)</f>
        <v>Desktop</v>
      </c>
      <c r="E405" t="str">
        <f>VLOOKUP(A405, user_table!$A:$F, 6, FALSE)</f>
        <v>Paid</v>
      </c>
    </row>
    <row r="406" spans="1:5">
      <c r="A406">
        <v>1663</v>
      </c>
      <c r="B406" s="2">
        <v>45335.469444444447</v>
      </c>
      <c r="C406" t="str">
        <f>VLOOKUP(A406, user_table!$A:$B, 2, FALSE)</f>
        <v>Female</v>
      </c>
      <c r="D406" t="str">
        <f>VLOOKUP(A406, user_table!$A:$F, 5, FALSE)</f>
        <v>Mobile</v>
      </c>
      <c r="E406" t="str">
        <f>VLOOKUP(A406, user_table!$A:$F, 6, FALSE)</f>
        <v>Email</v>
      </c>
    </row>
    <row r="407" spans="1:5">
      <c r="A407">
        <v>1519</v>
      </c>
      <c r="B407" s="2">
        <v>45367.395138888889</v>
      </c>
      <c r="C407" t="str">
        <f>VLOOKUP(A407, user_table!$A:$B, 2, FALSE)</f>
        <v>Female</v>
      </c>
      <c r="D407" t="str">
        <f>VLOOKUP(A407, user_table!$A:$F, 5, FALSE)</f>
        <v>Desktop</v>
      </c>
      <c r="E407" t="str">
        <f>VLOOKUP(A407, user_table!$A:$F, 6, FALSE)</f>
        <v>Paid</v>
      </c>
    </row>
    <row r="408" spans="1:5">
      <c r="A408">
        <v>1621</v>
      </c>
      <c r="B408" s="2">
        <v>45308.627083333333</v>
      </c>
      <c r="C408" t="str">
        <f>VLOOKUP(A408, user_table!$A:$B, 2, FALSE)</f>
        <v>Male</v>
      </c>
      <c r="D408" t="str">
        <f>VLOOKUP(A408, user_table!$A:$F, 5, FALSE)</f>
        <v>Tablet</v>
      </c>
      <c r="E408" t="str">
        <f>VLOOKUP(A408, user_table!$A:$F, 6, FALSE)</f>
        <v>Organic</v>
      </c>
    </row>
    <row r="409" spans="1:5">
      <c r="A409">
        <v>1713</v>
      </c>
      <c r="B409" s="2">
        <v>45374.775694444441</v>
      </c>
      <c r="C409" t="str">
        <f>VLOOKUP(A409, user_table!$A:$B, 2, FALSE)</f>
        <v>Male</v>
      </c>
      <c r="D409" t="str">
        <f>VLOOKUP(A409, user_table!$A:$F, 5, FALSE)</f>
        <v>Mobile</v>
      </c>
      <c r="E409" t="str">
        <f>VLOOKUP(A409, user_table!$A:$F, 6, FALSE)</f>
        <v>Paid</v>
      </c>
    </row>
    <row r="410" spans="1:5">
      <c r="A410">
        <v>1358</v>
      </c>
      <c r="B410" s="2">
        <v>45372.104166666664</v>
      </c>
      <c r="C410" t="str">
        <f>VLOOKUP(A410, user_table!$A:$B, 2, FALSE)</f>
        <v>Female</v>
      </c>
      <c r="D410" t="str">
        <f>VLOOKUP(A410, user_table!$A:$F, 5, FALSE)</f>
        <v>Mobile</v>
      </c>
      <c r="E410" t="str">
        <f>VLOOKUP(A410, user_table!$A:$F, 6, FALSE)</f>
        <v>Organic</v>
      </c>
    </row>
    <row r="411" spans="1:5">
      <c r="A411">
        <v>1630</v>
      </c>
      <c r="B411" s="2">
        <v>45317.671527777777</v>
      </c>
      <c r="C411" t="str">
        <f>VLOOKUP(A411, user_table!$A:$B, 2, FALSE)</f>
        <v>Male</v>
      </c>
      <c r="D411" t="str">
        <f>VLOOKUP(A411, user_table!$A:$F, 5, FALSE)</f>
        <v>Tablet</v>
      </c>
      <c r="E411" t="str">
        <f>VLOOKUP(A411, user_table!$A:$F, 6, FALSE)</f>
        <v>Organic</v>
      </c>
    </row>
    <row r="412" spans="1:5">
      <c r="A412">
        <v>1890</v>
      </c>
      <c r="B412" s="2">
        <v>45380.522916666669</v>
      </c>
      <c r="C412" t="str">
        <f>VLOOKUP(A412, user_table!$A:$B, 2, FALSE)</f>
        <v>Male</v>
      </c>
      <c r="D412" t="str">
        <f>VLOOKUP(A412, user_table!$A:$F, 5, FALSE)</f>
        <v>Desktop</v>
      </c>
      <c r="E412" t="str">
        <f>VLOOKUP(A412, user_table!$A:$F, 6, FALSE)</f>
        <v>Organic</v>
      </c>
    </row>
    <row r="413" spans="1:5">
      <c r="A413">
        <v>1379</v>
      </c>
      <c r="B413" s="2">
        <v>45331.543749999997</v>
      </c>
      <c r="C413" t="str">
        <f>VLOOKUP(A413, user_table!$A:$B, 2, FALSE)</f>
        <v>Female</v>
      </c>
      <c r="D413" t="str">
        <f>VLOOKUP(A413, user_table!$A:$F, 5, FALSE)</f>
        <v>Desktop</v>
      </c>
      <c r="E413" t="str">
        <f>VLOOKUP(A413, user_table!$A:$F, 6, FALSE)</f>
        <v>Email</v>
      </c>
    </row>
    <row r="414" spans="1:5">
      <c r="A414">
        <v>1292</v>
      </c>
      <c r="B414" s="2">
        <v>45312.175000000003</v>
      </c>
      <c r="C414" t="str">
        <f>VLOOKUP(A414, user_table!$A:$B, 2, FALSE)</f>
        <v>Male</v>
      </c>
      <c r="D414" t="str">
        <f>VLOOKUP(A414, user_table!$A:$F, 5, FALSE)</f>
        <v>Desktop</v>
      </c>
      <c r="E414" t="str">
        <f>VLOOKUP(A414, user_table!$A:$F, 6, FALSE)</f>
        <v>Organic</v>
      </c>
    </row>
    <row r="415" spans="1:5">
      <c r="A415">
        <v>1635</v>
      </c>
      <c r="B415" s="2">
        <v>45336.566666666666</v>
      </c>
      <c r="C415" t="str">
        <f>VLOOKUP(A415, user_table!$A:$B, 2, FALSE)</f>
        <v>Male</v>
      </c>
      <c r="D415" t="str">
        <f>VLOOKUP(A415, user_table!$A:$F, 5, FALSE)</f>
        <v>Mobile</v>
      </c>
      <c r="E415" t="str">
        <f>VLOOKUP(A415, user_table!$A:$F, 6, FALSE)</f>
        <v>Organic</v>
      </c>
    </row>
    <row r="416" spans="1:5">
      <c r="A416">
        <v>1744</v>
      </c>
      <c r="B416" s="2">
        <v>45351.180555555555</v>
      </c>
      <c r="C416" t="str">
        <f>VLOOKUP(A416, user_table!$A:$B, 2, FALSE)</f>
        <v>Male</v>
      </c>
      <c r="D416" t="str">
        <f>VLOOKUP(A416, user_table!$A:$F, 5, FALSE)</f>
        <v>Mobile</v>
      </c>
      <c r="E416" t="str">
        <f>VLOOKUP(A416, user_table!$A:$F, 6, FALSE)</f>
        <v>Social</v>
      </c>
    </row>
    <row r="417" spans="1:5">
      <c r="A417">
        <v>1557</v>
      </c>
      <c r="B417" s="2">
        <v>45316.104861111111</v>
      </c>
      <c r="C417" t="str">
        <f>VLOOKUP(A417, user_table!$A:$B, 2, FALSE)</f>
        <v>Male</v>
      </c>
      <c r="D417" t="str">
        <f>VLOOKUP(A417, user_table!$A:$F, 5, FALSE)</f>
        <v>Mobile</v>
      </c>
      <c r="E417" t="str">
        <f>VLOOKUP(A417, user_table!$A:$F, 6, FALSE)</f>
        <v>Social</v>
      </c>
    </row>
    <row r="418" spans="1:5">
      <c r="A418">
        <v>1310</v>
      </c>
      <c r="B418" s="2">
        <v>45335.84097222222</v>
      </c>
      <c r="C418" t="str">
        <f>VLOOKUP(A418, user_table!$A:$B, 2, FALSE)</f>
        <v>Male</v>
      </c>
      <c r="D418" t="str">
        <f>VLOOKUP(A418, user_table!$A:$F, 5, FALSE)</f>
        <v>Desktop</v>
      </c>
      <c r="E418" t="str">
        <f>VLOOKUP(A418, user_table!$A:$F, 6, FALSE)</f>
        <v>Paid</v>
      </c>
    </row>
    <row r="419" spans="1:5">
      <c r="A419">
        <v>1823</v>
      </c>
      <c r="B419" s="2">
        <v>45333.835416666669</v>
      </c>
      <c r="C419" t="str">
        <f>VLOOKUP(A419, user_table!$A:$B, 2, FALSE)</f>
        <v>Male</v>
      </c>
      <c r="D419" t="str">
        <f>VLOOKUP(A419, user_table!$A:$F, 5, FALSE)</f>
        <v>Mobile</v>
      </c>
      <c r="E419" t="str">
        <f>VLOOKUP(A419, user_table!$A:$F, 6, FALSE)</f>
        <v>Organic</v>
      </c>
    </row>
    <row r="420" spans="1:5">
      <c r="A420">
        <v>1009</v>
      </c>
      <c r="B420" s="2">
        <v>45293.595138888886</v>
      </c>
      <c r="C420" t="str">
        <f>VLOOKUP(A420, user_table!$A:$B, 2, FALSE)</f>
        <v>Female</v>
      </c>
      <c r="D420" t="str">
        <f>VLOOKUP(A420, user_table!$A:$F, 5, FALSE)</f>
        <v>Mobile</v>
      </c>
      <c r="E420" t="str">
        <f>VLOOKUP(A420, user_table!$A:$F, 6, FALSE)</f>
        <v>Organic</v>
      </c>
    </row>
    <row r="421" spans="1:5">
      <c r="A421">
        <v>1973</v>
      </c>
      <c r="B421" s="2">
        <v>45319.23333333333</v>
      </c>
      <c r="C421" t="str">
        <f>VLOOKUP(A421, user_table!$A:$B, 2, FALSE)</f>
        <v>Female</v>
      </c>
      <c r="D421" t="str">
        <f>VLOOKUP(A421, user_table!$A:$F, 5, FALSE)</f>
        <v>Desktop</v>
      </c>
      <c r="E421" t="str">
        <f>VLOOKUP(A421, user_table!$A:$F, 6, FALSE)</f>
        <v>Organic</v>
      </c>
    </row>
    <row r="422" spans="1:5">
      <c r="A422">
        <v>1307</v>
      </c>
      <c r="B422" s="2">
        <v>45313.659722222219</v>
      </c>
      <c r="C422" t="str">
        <f>VLOOKUP(A422, user_table!$A:$B, 2, FALSE)</f>
        <v>Male</v>
      </c>
      <c r="D422" t="str">
        <f>VLOOKUP(A422, user_table!$A:$F, 5, FALSE)</f>
        <v>Tablet</v>
      </c>
      <c r="E422" t="str">
        <f>VLOOKUP(A422, user_table!$A:$F, 6, FALSE)</f>
        <v>Social</v>
      </c>
    </row>
    <row r="423" spans="1:5">
      <c r="A423">
        <v>1107</v>
      </c>
      <c r="B423" s="2">
        <v>45304.193749999999</v>
      </c>
      <c r="C423" t="str">
        <f>VLOOKUP(A423, user_table!$A:$B, 2, FALSE)</f>
        <v>Male</v>
      </c>
      <c r="D423" t="str">
        <f>VLOOKUP(A423, user_table!$A:$F, 5, FALSE)</f>
        <v>Mobile</v>
      </c>
      <c r="E423" t="str">
        <f>VLOOKUP(A423, user_table!$A:$F, 6, FALSE)</f>
        <v>Organic</v>
      </c>
    </row>
    <row r="424" spans="1:5">
      <c r="A424">
        <v>1138</v>
      </c>
      <c r="B424" s="2">
        <v>45348.852083333331</v>
      </c>
      <c r="C424" t="str">
        <f>VLOOKUP(A424, user_table!$A:$B, 2, FALSE)</f>
        <v>Female</v>
      </c>
      <c r="D424" t="str">
        <f>VLOOKUP(A424, user_table!$A:$F, 5, FALSE)</f>
        <v>Desktop</v>
      </c>
      <c r="E424" t="str">
        <f>VLOOKUP(A424, user_table!$A:$F, 6, FALSE)</f>
        <v>Social</v>
      </c>
    </row>
    <row r="425" spans="1:5">
      <c r="A425">
        <v>1942</v>
      </c>
      <c r="B425" s="2">
        <v>45344.5625</v>
      </c>
      <c r="C425" t="str">
        <f>VLOOKUP(A425, user_table!$A:$B, 2, FALSE)</f>
        <v>Female</v>
      </c>
      <c r="D425" t="str">
        <f>VLOOKUP(A425, user_table!$A:$F, 5, FALSE)</f>
        <v>Desktop</v>
      </c>
      <c r="E425" t="str">
        <f>VLOOKUP(A425, user_table!$A:$F, 6, FALSE)</f>
        <v>Paid</v>
      </c>
    </row>
    <row r="426" spans="1:5">
      <c r="A426">
        <v>1119</v>
      </c>
      <c r="B426" s="2">
        <v>45342.001388888886</v>
      </c>
      <c r="C426" t="str">
        <f>VLOOKUP(A426, user_table!$A:$B, 2, FALSE)</f>
        <v>Female</v>
      </c>
      <c r="D426" t="str">
        <f>VLOOKUP(A426, user_table!$A:$F, 5, FALSE)</f>
        <v>Desktop</v>
      </c>
      <c r="E426" t="str">
        <f>VLOOKUP(A426, user_table!$A:$F, 6, FALSE)</f>
        <v>Paid</v>
      </c>
    </row>
    <row r="427" spans="1:5">
      <c r="A427">
        <v>1110</v>
      </c>
      <c r="B427" s="2">
        <v>45361.281944444447</v>
      </c>
      <c r="C427" t="str">
        <f>VLOOKUP(A427, user_table!$A:$B, 2, FALSE)</f>
        <v>Male</v>
      </c>
      <c r="D427" t="str">
        <f>VLOOKUP(A427, user_table!$A:$F, 5, FALSE)</f>
        <v>Desktop</v>
      </c>
      <c r="E427" t="str">
        <f>VLOOKUP(A427, user_table!$A:$F, 6, FALSE)</f>
        <v>Direct</v>
      </c>
    </row>
    <row r="428" spans="1:5">
      <c r="A428">
        <v>1821</v>
      </c>
      <c r="B428" s="2">
        <v>45340.039583333331</v>
      </c>
      <c r="C428" t="str">
        <f>VLOOKUP(A428, user_table!$A:$B, 2, FALSE)</f>
        <v>Female</v>
      </c>
      <c r="D428" t="str">
        <f>VLOOKUP(A428, user_table!$A:$F, 5, FALSE)</f>
        <v>Desktop</v>
      </c>
      <c r="E428" t="str">
        <f>VLOOKUP(A428, user_table!$A:$F, 6, FALSE)</f>
        <v>Social</v>
      </c>
    </row>
    <row r="429" spans="1:5">
      <c r="A429">
        <v>1954</v>
      </c>
      <c r="B429" s="2">
        <v>45334.675000000003</v>
      </c>
      <c r="C429" t="str">
        <f>VLOOKUP(A429, user_table!$A:$B, 2, FALSE)</f>
        <v>Female</v>
      </c>
      <c r="D429" t="str">
        <f>VLOOKUP(A429, user_table!$A:$F, 5, FALSE)</f>
        <v>Desktop</v>
      </c>
      <c r="E429" t="str">
        <f>VLOOKUP(A429, user_table!$A:$F, 6, FALSE)</f>
        <v>Paid</v>
      </c>
    </row>
    <row r="430" spans="1:5">
      <c r="A430">
        <v>1279</v>
      </c>
      <c r="B430" s="2">
        <v>45295.875</v>
      </c>
      <c r="C430" t="str">
        <f>VLOOKUP(A430, user_table!$A:$B, 2, FALSE)</f>
        <v>Female</v>
      </c>
      <c r="D430" t="str">
        <f>VLOOKUP(A430, user_table!$A:$F, 5, FALSE)</f>
        <v>Desktop</v>
      </c>
      <c r="E430" t="str">
        <f>VLOOKUP(A430, user_table!$A:$F, 6, FALSE)</f>
        <v>Email</v>
      </c>
    </row>
    <row r="431" spans="1:5">
      <c r="A431">
        <v>1289</v>
      </c>
      <c r="B431" s="2">
        <v>45373.96875</v>
      </c>
      <c r="C431" t="str">
        <f>VLOOKUP(A431, user_table!$A:$B, 2, FALSE)</f>
        <v>Male</v>
      </c>
      <c r="D431" t="str">
        <f>VLOOKUP(A431, user_table!$A:$F, 5, FALSE)</f>
        <v>Mobile</v>
      </c>
      <c r="E431" t="str">
        <f>VLOOKUP(A431, user_table!$A:$F, 6, FALSE)</f>
        <v>Organic</v>
      </c>
    </row>
    <row r="432" spans="1:5">
      <c r="A432">
        <v>1216</v>
      </c>
      <c r="B432" s="2">
        <v>45321.955555555556</v>
      </c>
      <c r="C432" t="str">
        <f>VLOOKUP(A432, user_table!$A:$B, 2, FALSE)</f>
        <v>Male</v>
      </c>
      <c r="D432" t="str">
        <f>VLOOKUP(A432, user_table!$A:$F, 5, FALSE)</f>
        <v>Desktop</v>
      </c>
      <c r="E432" t="str">
        <f>VLOOKUP(A432, user_table!$A:$F, 6, FALSE)</f>
        <v>Email</v>
      </c>
    </row>
    <row r="433" spans="1:5">
      <c r="A433">
        <v>1352</v>
      </c>
      <c r="B433" s="2">
        <v>45337.380555555559</v>
      </c>
      <c r="C433" t="str">
        <f>VLOOKUP(A433, user_table!$A:$B, 2, FALSE)</f>
        <v>Female</v>
      </c>
      <c r="D433" t="str">
        <f>VLOOKUP(A433, user_table!$A:$F, 5, FALSE)</f>
        <v>Desktop</v>
      </c>
      <c r="E433" t="str">
        <f>VLOOKUP(A433, user_table!$A:$F, 6, FALSE)</f>
        <v>Organic</v>
      </c>
    </row>
    <row r="434" spans="1:5">
      <c r="A434">
        <v>1209</v>
      </c>
      <c r="B434" s="2">
        <v>45306.522222222222</v>
      </c>
      <c r="C434" t="str">
        <f>VLOOKUP(A434, user_table!$A:$B, 2, FALSE)</f>
        <v>Male</v>
      </c>
      <c r="D434" t="str">
        <f>VLOOKUP(A434, user_table!$A:$F, 5, FALSE)</f>
        <v>Tablet</v>
      </c>
      <c r="E434" t="str">
        <f>VLOOKUP(A434, user_table!$A:$F, 6, FALSE)</f>
        <v>Paid</v>
      </c>
    </row>
    <row r="435" spans="1:5">
      <c r="A435">
        <v>1600</v>
      </c>
      <c r="B435" s="2">
        <v>45368.381944444445</v>
      </c>
      <c r="C435" t="str">
        <f>VLOOKUP(A435, user_table!$A:$B, 2, FALSE)</f>
        <v>Male</v>
      </c>
      <c r="D435" t="str">
        <f>VLOOKUP(A435, user_table!$A:$F, 5, FALSE)</f>
        <v>Mobile</v>
      </c>
      <c r="E435" t="str">
        <f>VLOOKUP(A435, user_table!$A:$F, 6, FALSE)</f>
        <v>Email</v>
      </c>
    </row>
    <row r="436" spans="1:5">
      <c r="A436">
        <v>1978</v>
      </c>
      <c r="B436" s="2">
        <v>45301.054861111108</v>
      </c>
      <c r="C436" t="str">
        <f>VLOOKUP(A436, user_table!$A:$B, 2, FALSE)</f>
        <v>Male</v>
      </c>
      <c r="D436" t="str">
        <f>VLOOKUP(A436, user_table!$A:$F, 5, FALSE)</f>
        <v>Desktop</v>
      </c>
      <c r="E436" t="str">
        <f>VLOOKUP(A436, user_table!$A:$F, 6, FALSE)</f>
        <v>Email</v>
      </c>
    </row>
    <row r="437" spans="1:5">
      <c r="A437">
        <v>1780</v>
      </c>
      <c r="B437" s="2">
        <v>45330.615277777775</v>
      </c>
      <c r="C437" t="str">
        <f>VLOOKUP(A437, user_table!$A:$B, 2, FALSE)</f>
        <v>Female</v>
      </c>
      <c r="D437" t="str">
        <f>VLOOKUP(A437, user_table!$A:$F, 5, FALSE)</f>
        <v>Mobile</v>
      </c>
      <c r="E437" t="str">
        <f>VLOOKUP(A437, user_table!$A:$F, 6, FALSE)</f>
        <v>Email</v>
      </c>
    </row>
    <row r="438" spans="1:5">
      <c r="A438">
        <v>1822</v>
      </c>
      <c r="B438" s="2">
        <v>45359.814583333333</v>
      </c>
      <c r="C438" t="str">
        <f>VLOOKUP(A438, user_table!$A:$B, 2, FALSE)</f>
        <v>Male</v>
      </c>
      <c r="D438" t="str">
        <f>VLOOKUP(A438, user_table!$A:$F, 5, FALSE)</f>
        <v>Tablet</v>
      </c>
      <c r="E438" t="str">
        <f>VLOOKUP(A438, user_table!$A:$F, 6, FALSE)</f>
        <v>Social</v>
      </c>
    </row>
    <row r="439" spans="1:5">
      <c r="A439">
        <v>1053</v>
      </c>
      <c r="B439" s="2">
        <v>45336.580555555556</v>
      </c>
      <c r="C439" t="str">
        <f>VLOOKUP(A439, user_table!$A:$B, 2, FALSE)</f>
        <v>Female</v>
      </c>
      <c r="D439" t="str">
        <f>VLOOKUP(A439, user_table!$A:$F, 5, FALSE)</f>
        <v>Desktop</v>
      </c>
      <c r="E439" t="str">
        <f>VLOOKUP(A439, user_table!$A:$F, 6, FALSE)</f>
        <v>Direct</v>
      </c>
    </row>
    <row r="440" spans="1:5">
      <c r="A440">
        <v>1949</v>
      </c>
      <c r="B440" s="2">
        <v>45380.181250000001</v>
      </c>
      <c r="C440" t="str">
        <f>VLOOKUP(A440, user_table!$A:$B, 2, FALSE)</f>
        <v>Female</v>
      </c>
      <c r="D440" t="str">
        <f>VLOOKUP(A440, user_table!$A:$F, 5, FALSE)</f>
        <v>Mobile</v>
      </c>
      <c r="E440" t="str">
        <f>VLOOKUP(A440, user_table!$A:$F, 6, FALSE)</f>
        <v>Paid</v>
      </c>
    </row>
    <row r="441" spans="1:5">
      <c r="A441">
        <v>1653</v>
      </c>
      <c r="B441" s="2">
        <v>45355.491666666669</v>
      </c>
      <c r="C441" t="str">
        <f>VLOOKUP(A441, user_table!$A:$B, 2, FALSE)</f>
        <v>Female</v>
      </c>
      <c r="D441" t="str">
        <f>VLOOKUP(A441, user_table!$A:$F, 5, FALSE)</f>
        <v>Desktop</v>
      </c>
      <c r="E441" t="str">
        <f>VLOOKUP(A441, user_table!$A:$F, 6, FALSE)</f>
        <v>Direct</v>
      </c>
    </row>
    <row r="442" spans="1:5">
      <c r="A442">
        <v>1284</v>
      </c>
      <c r="B442" s="2">
        <v>45317.248611111114</v>
      </c>
      <c r="C442" t="str">
        <f>VLOOKUP(A442, user_table!$A:$B, 2, FALSE)</f>
        <v>Male</v>
      </c>
      <c r="D442" t="str">
        <f>VLOOKUP(A442, user_table!$A:$F, 5, FALSE)</f>
        <v>Desktop</v>
      </c>
      <c r="E442" t="str">
        <f>VLOOKUP(A442, user_table!$A:$F, 6, FALSE)</f>
        <v>Organic</v>
      </c>
    </row>
    <row r="443" spans="1:5">
      <c r="A443">
        <v>1046</v>
      </c>
      <c r="B443" s="2">
        <v>45344.009722222225</v>
      </c>
      <c r="C443" t="str">
        <f>VLOOKUP(A443, user_table!$A:$B, 2, FALSE)</f>
        <v>Female</v>
      </c>
      <c r="D443" t="str">
        <f>VLOOKUP(A443, user_table!$A:$F, 5, FALSE)</f>
        <v>Desktop</v>
      </c>
      <c r="E443" t="str">
        <f>VLOOKUP(A443, user_table!$A:$F, 6, FALSE)</f>
        <v>Organic</v>
      </c>
    </row>
    <row r="444" spans="1:5">
      <c r="A444">
        <v>1804</v>
      </c>
      <c r="B444" s="2">
        <v>45321.963888888888</v>
      </c>
      <c r="C444" t="str">
        <f>VLOOKUP(A444, user_table!$A:$B, 2, FALSE)</f>
        <v>Female</v>
      </c>
      <c r="D444" t="str">
        <f>VLOOKUP(A444, user_table!$A:$F, 5, FALSE)</f>
        <v>Mobile</v>
      </c>
      <c r="E444" t="str">
        <f>VLOOKUP(A444, user_table!$A:$F, 6, FALSE)</f>
        <v>Paid</v>
      </c>
    </row>
    <row r="445" spans="1:5">
      <c r="A445">
        <v>1342</v>
      </c>
      <c r="B445" s="2">
        <v>45320.959027777775</v>
      </c>
      <c r="C445" t="str">
        <f>VLOOKUP(A445, user_table!$A:$B, 2, FALSE)</f>
        <v>Male</v>
      </c>
      <c r="D445" t="str">
        <f>VLOOKUP(A445, user_table!$A:$F, 5, FALSE)</f>
        <v>Mobile</v>
      </c>
      <c r="E445" t="str">
        <f>VLOOKUP(A445, user_table!$A:$F, 6, FALSE)</f>
        <v>Organic</v>
      </c>
    </row>
    <row r="446" spans="1:5">
      <c r="A446">
        <v>1134</v>
      </c>
      <c r="B446" s="2">
        <v>45368.673611111109</v>
      </c>
      <c r="C446" t="str">
        <f>VLOOKUP(A446, user_table!$A:$B, 2, FALSE)</f>
        <v>Male</v>
      </c>
      <c r="D446" t="str">
        <f>VLOOKUP(A446, user_table!$A:$F, 5, FALSE)</f>
        <v>Mobile</v>
      </c>
      <c r="E446" t="str">
        <f>VLOOKUP(A446, user_table!$A:$F, 6, FALSE)</f>
        <v>Social</v>
      </c>
    </row>
    <row r="447" spans="1:5">
      <c r="A447">
        <v>1269</v>
      </c>
      <c r="B447" s="2">
        <v>45308.489583333336</v>
      </c>
      <c r="C447" t="str">
        <f>VLOOKUP(A447, user_table!$A:$B, 2, FALSE)</f>
        <v>Male</v>
      </c>
      <c r="D447" t="str">
        <f>VLOOKUP(A447, user_table!$A:$F, 5, FALSE)</f>
        <v>Mobile</v>
      </c>
      <c r="E447" t="str">
        <f>VLOOKUP(A447, user_table!$A:$F, 6, FALSE)</f>
        <v>Direct</v>
      </c>
    </row>
    <row r="448" spans="1:5">
      <c r="A448">
        <v>1786</v>
      </c>
      <c r="B448" s="2">
        <v>45376.058333333334</v>
      </c>
      <c r="C448" t="str">
        <f>VLOOKUP(A448, user_table!$A:$B, 2, FALSE)</f>
        <v>Female</v>
      </c>
      <c r="D448" t="str">
        <f>VLOOKUP(A448, user_table!$A:$F, 5, FALSE)</f>
        <v>Mobile</v>
      </c>
      <c r="E448" t="str">
        <f>VLOOKUP(A448, user_table!$A:$F, 6, FALSE)</f>
        <v>Email</v>
      </c>
    </row>
    <row r="449" spans="1:5">
      <c r="A449">
        <v>1453</v>
      </c>
      <c r="B449" s="2">
        <v>45374.367361111108</v>
      </c>
      <c r="C449" t="str">
        <f>VLOOKUP(A449, user_table!$A:$B, 2, FALSE)</f>
        <v>Male</v>
      </c>
      <c r="D449" t="str">
        <f>VLOOKUP(A449, user_table!$A:$F, 5, FALSE)</f>
        <v>Desktop</v>
      </c>
      <c r="E449" t="str">
        <f>VLOOKUP(A449, user_table!$A:$F, 6, FALSE)</f>
        <v>Social</v>
      </c>
    </row>
    <row r="450" spans="1:5">
      <c r="A450">
        <v>1438</v>
      </c>
      <c r="B450" s="2">
        <v>45361.793749999997</v>
      </c>
      <c r="C450" t="str">
        <f>VLOOKUP(A450, user_table!$A:$B, 2, FALSE)</f>
        <v>Female</v>
      </c>
      <c r="D450" t="str">
        <f>VLOOKUP(A450, user_table!$A:$F, 5, FALSE)</f>
        <v>Desktop</v>
      </c>
      <c r="E450" t="str">
        <f>VLOOKUP(A450, user_table!$A:$F, 6, FALSE)</f>
        <v>Organic</v>
      </c>
    </row>
    <row r="451" spans="1:5">
      <c r="A451">
        <v>1602</v>
      </c>
      <c r="B451" s="2">
        <v>45369.070833333331</v>
      </c>
      <c r="C451" t="str">
        <f>VLOOKUP(A451, user_table!$A:$B, 2, FALSE)</f>
        <v>Male</v>
      </c>
      <c r="D451" t="str">
        <f>VLOOKUP(A451, user_table!$A:$F, 5, FALSE)</f>
        <v>Desktop</v>
      </c>
      <c r="E451" t="str">
        <f>VLOOKUP(A451, user_table!$A:$F, 6, FALSE)</f>
        <v>Paid</v>
      </c>
    </row>
    <row r="452" spans="1:5">
      <c r="A452">
        <v>1961</v>
      </c>
      <c r="B452" s="2">
        <v>45306.870138888888</v>
      </c>
      <c r="C452" t="str">
        <f>VLOOKUP(A452, user_table!$A:$B, 2, FALSE)</f>
        <v>Male</v>
      </c>
      <c r="D452" t="str">
        <f>VLOOKUP(A452, user_table!$A:$F, 5, FALSE)</f>
        <v>Desktop</v>
      </c>
      <c r="E452" t="str">
        <f>VLOOKUP(A452, user_table!$A:$F, 6, FALSE)</f>
        <v>Organic</v>
      </c>
    </row>
    <row r="453" spans="1:5">
      <c r="A453">
        <v>1677</v>
      </c>
      <c r="B453" s="2">
        <v>45295.072222222225</v>
      </c>
      <c r="C453" t="str">
        <f>VLOOKUP(A453, user_table!$A:$B, 2, FALSE)</f>
        <v>Male</v>
      </c>
      <c r="D453" t="str">
        <f>VLOOKUP(A453, user_table!$A:$F, 5, FALSE)</f>
        <v>Mobile</v>
      </c>
      <c r="E453" t="str">
        <f>VLOOKUP(A453, user_table!$A:$F, 6, FALSE)</f>
        <v>Paid</v>
      </c>
    </row>
    <row r="454" spans="1:5">
      <c r="A454">
        <v>1153</v>
      </c>
      <c r="B454" s="2">
        <v>45307.561111111114</v>
      </c>
      <c r="C454" t="str">
        <f>VLOOKUP(A454, user_table!$A:$B, 2, FALSE)</f>
        <v>Male</v>
      </c>
      <c r="D454" t="str">
        <f>VLOOKUP(A454, user_table!$A:$F, 5, FALSE)</f>
        <v>Mobile</v>
      </c>
      <c r="E454" t="str">
        <f>VLOOKUP(A454, user_table!$A:$F, 6, FALSE)</f>
        <v>Organic</v>
      </c>
    </row>
    <row r="455" spans="1:5">
      <c r="A455">
        <v>1037</v>
      </c>
      <c r="B455" s="2">
        <v>45341.149305555555</v>
      </c>
      <c r="C455" t="str">
        <f>VLOOKUP(A455, user_table!$A:$B, 2, FALSE)</f>
        <v>Male</v>
      </c>
      <c r="D455" t="str">
        <f>VLOOKUP(A455, user_table!$A:$F, 5, FALSE)</f>
        <v>Mobile</v>
      </c>
      <c r="E455" t="str">
        <f>VLOOKUP(A455, user_table!$A:$F, 6, FALSE)</f>
        <v>Direct</v>
      </c>
    </row>
    <row r="456" spans="1:5">
      <c r="A456">
        <v>1589</v>
      </c>
      <c r="B456" s="2">
        <v>45325.655555555553</v>
      </c>
      <c r="C456" t="str">
        <f>VLOOKUP(A456, user_table!$A:$B, 2, FALSE)</f>
        <v>Male</v>
      </c>
      <c r="D456" t="str">
        <f>VLOOKUP(A456, user_table!$A:$F, 5, FALSE)</f>
        <v>Mobile</v>
      </c>
      <c r="E456" t="str">
        <f>VLOOKUP(A456, user_table!$A:$F, 6, FALSE)</f>
        <v>Paid</v>
      </c>
    </row>
    <row r="457" spans="1:5">
      <c r="A457">
        <v>1152</v>
      </c>
      <c r="B457" s="2">
        <v>45312.280555555553</v>
      </c>
      <c r="C457" t="str">
        <f>VLOOKUP(A457, user_table!$A:$B, 2, FALSE)</f>
        <v>Male</v>
      </c>
      <c r="D457" t="str">
        <f>VLOOKUP(A457, user_table!$A:$F, 5, FALSE)</f>
        <v>Desktop</v>
      </c>
      <c r="E457" t="str">
        <f>VLOOKUP(A457, user_table!$A:$F, 6, FALSE)</f>
        <v>Social</v>
      </c>
    </row>
    <row r="458" spans="1:5">
      <c r="A458">
        <v>1441</v>
      </c>
      <c r="B458" s="2">
        <v>45380.833333333336</v>
      </c>
      <c r="C458" t="str">
        <f>VLOOKUP(A458, user_table!$A:$B, 2, FALSE)</f>
        <v>Male</v>
      </c>
      <c r="D458" t="str">
        <f>VLOOKUP(A458, user_table!$A:$F, 5, FALSE)</f>
        <v>Tablet</v>
      </c>
      <c r="E458" t="str">
        <f>VLOOKUP(A458, user_table!$A:$F, 6, FALSE)</f>
        <v>Paid</v>
      </c>
    </row>
    <row r="459" spans="1:5">
      <c r="A459">
        <v>1131</v>
      </c>
      <c r="B459" s="2">
        <v>45331.570833333331</v>
      </c>
      <c r="C459" t="str">
        <f>VLOOKUP(A459, user_table!$A:$B, 2, FALSE)</f>
        <v>Male</v>
      </c>
      <c r="D459" t="str">
        <f>VLOOKUP(A459, user_table!$A:$F, 5, FALSE)</f>
        <v>Mobile</v>
      </c>
      <c r="E459" t="str">
        <f>VLOOKUP(A459, user_table!$A:$F, 6, FALSE)</f>
        <v>Social</v>
      </c>
    </row>
    <row r="460" spans="1:5">
      <c r="A460">
        <v>1043</v>
      </c>
      <c r="B460" s="2">
        <v>45305.897916666669</v>
      </c>
      <c r="C460" t="str">
        <f>VLOOKUP(A460, user_table!$A:$B, 2, FALSE)</f>
        <v>Male</v>
      </c>
      <c r="D460" t="str">
        <f>VLOOKUP(A460, user_table!$A:$F, 5, FALSE)</f>
        <v>Mobile</v>
      </c>
      <c r="E460" t="str">
        <f>VLOOKUP(A460, user_table!$A:$F, 6, FALSE)</f>
        <v>Direct</v>
      </c>
    </row>
    <row r="461" spans="1:5">
      <c r="A461">
        <v>1316</v>
      </c>
      <c r="B461" s="2">
        <v>45327.818055555559</v>
      </c>
      <c r="C461" t="str">
        <f>VLOOKUP(A461, user_table!$A:$B, 2, FALSE)</f>
        <v>Female</v>
      </c>
      <c r="D461" t="str">
        <f>VLOOKUP(A461, user_table!$A:$F, 5, FALSE)</f>
        <v>Desktop</v>
      </c>
      <c r="E461" t="str">
        <f>VLOOKUP(A461, user_table!$A:$F, 6, FALSE)</f>
        <v>Paid</v>
      </c>
    </row>
    <row r="462" spans="1:5">
      <c r="A462">
        <v>1906</v>
      </c>
      <c r="B462" s="2">
        <v>45382.18472222222</v>
      </c>
      <c r="C462" t="str">
        <f>VLOOKUP(A462, user_table!$A:$B, 2, FALSE)</f>
        <v>Female</v>
      </c>
      <c r="D462" t="str">
        <f>VLOOKUP(A462, user_table!$A:$F, 5, FALSE)</f>
        <v>Mobile</v>
      </c>
      <c r="E462" t="str">
        <f>VLOOKUP(A462, user_table!$A:$F, 6, FALSE)</f>
        <v>Organic</v>
      </c>
    </row>
    <row r="463" spans="1:5">
      <c r="A463">
        <v>1620</v>
      </c>
      <c r="B463" s="2">
        <v>45306.698611111111</v>
      </c>
      <c r="C463" t="str">
        <f>VLOOKUP(A463, user_table!$A:$B, 2, FALSE)</f>
        <v>Female</v>
      </c>
      <c r="D463" t="str">
        <f>VLOOKUP(A463, user_table!$A:$F, 5, FALSE)</f>
        <v>Desktop</v>
      </c>
      <c r="E463" t="str">
        <f>VLOOKUP(A463, user_table!$A:$F, 6, FALSE)</f>
        <v>Social</v>
      </c>
    </row>
    <row r="464" spans="1:5">
      <c r="A464">
        <v>1367</v>
      </c>
      <c r="B464" s="2">
        <v>45372.137499999997</v>
      </c>
      <c r="C464" t="str">
        <f>VLOOKUP(A464, user_table!$A:$B, 2, FALSE)</f>
        <v>Female</v>
      </c>
      <c r="D464" t="str">
        <f>VLOOKUP(A464, user_table!$A:$F, 5, FALSE)</f>
        <v>Mobile</v>
      </c>
      <c r="E464" t="str">
        <f>VLOOKUP(A464, user_table!$A:$F, 6, FALSE)</f>
        <v>Social</v>
      </c>
    </row>
    <row r="465" spans="1:5">
      <c r="A465">
        <v>1652</v>
      </c>
      <c r="B465" s="2">
        <v>45307.146527777775</v>
      </c>
      <c r="C465" t="str">
        <f>VLOOKUP(A465, user_table!$A:$B, 2, FALSE)</f>
        <v>Female</v>
      </c>
      <c r="D465" t="str">
        <f>VLOOKUP(A465, user_table!$A:$F, 5, FALSE)</f>
        <v>Desktop</v>
      </c>
      <c r="E465" t="str">
        <f>VLOOKUP(A465, user_table!$A:$F, 6, FALSE)</f>
        <v>Email</v>
      </c>
    </row>
    <row r="466" spans="1:5">
      <c r="A466">
        <v>1920</v>
      </c>
      <c r="B466" s="2">
        <v>45318.8</v>
      </c>
      <c r="C466" t="str">
        <f>VLOOKUP(A466, user_table!$A:$B, 2, FALSE)</f>
        <v>Male</v>
      </c>
      <c r="D466" t="str">
        <f>VLOOKUP(A466, user_table!$A:$F, 5, FALSE)</f>
        <v>Mobile</v>
      </c>
      <c r="E466" t="str">
        <f>VLOOKUP(A466, user_table!$A:$F, 6, FALSE)</f>
        <v>Paid</v>
      </c>
    </row>
    <row r="467" spans="1:5">
      <c r="A467">
        <v>1106</v>
      </c>
      <c r="B467" s="2">
        <v>45326.675000000003</v>
      </c>
      <c r="C467" t="str">
        <f>VLOOKUP(A467, user_table!$A:$B, 2, FALSE)</f>
        <v>Male</v>
      </c>
      <c r="D467" t="str">
        <f>VLOOKUP(A467, user_table!$A:$F, 5, FALSE)</f>
        <v>Desktop</v>
      </c>
      <c r="E467" t="str">
        <f>VLOOKUP(A467, user_table!$A:$F, 6, FALSE)</f>
        <v>Paid</v>
      </c>
    </row>
    <row r="468" spans="1:5">
      <c r="A468">
        <v>1701</v>
      </c>
      <c r="B468" s="2">
        <v>45338.93472222222</v>
      </c>
      <c r="C468" t="str">
        <f>VLOOKUP(A468, user_table!$A:$B, 2, FALSE)</f>
        <v>Female</v>
      </c>
      <c r="D468" t="str">
        <f>VLOOKUP(A468, user_table!$A:$F, 5, FALSE)</f>
        <v>Mobile</v>
      </c>
      <c r="E468" t="str">
        <f>VLOOKUP(A468, user_table!$A:$F, 6, FALSE)</f>
        <v>Email</v>
      </c>
    </row>
    <row r="469" spans="1:5">
      <c r="A469">
        <v>1746</v>
      </c>
      <c r="B469" s="2">
        <v>45330.209722222222</v>
      </c>
      <c r="C469" t="str">
        <f>VLOOKUP(A469, user_table!$A:$B, 2, FALSE)</f>
        <v>Female</v>
      </c>
      <c r="D469" t="str">
        <f>VLOOKUP(A469, user_table!$A:$F, 5, FALSE)</f>
        <v>Tablet</v>
      </c>
      <c r="E469" t="str">
        <f>VLOOKUP(A469, user_table!$A:$F, 6, FALSE)</f>
        <v>Organic</v>
      </c>
    </row>
    <row r="470" spans="1:5">
      <c r="A470">
        <v>1650</v>
      </c>
      <c r="B470" s="2">
        <v>45363.665277777778</v>
      </c>
      <c r="C470" t="str">
        <f>VLOOKUP(A470, user_table!$A:$B, 2, FALSE)</f>
        <v>Male</v>
      </c>
      <c r="D470" t="str">
        <f>VLOOKUP(A470, user_table!$A:$F, 5, FALSE)</f>
        <v>Mobile</v>
      </c>
      <c r="E470" t="str">
        <f>VLOOKUP(A470, user_table!$A:$F, 6, FALSE)</f>
        <v>Direct</v>
      </c>
    </row>
    <row r="471" spans="1:5">
      <c r="A471">
        <v>1862</v>
      </c>
      <c r="B471" s="2">
        <v>45319.957638888889</v>
      </c>
      <c r="C471" t="str">
        <f>VLOOKUP(A471, user_table!$A:$B, 2, FALSE)</f>
        <v>Male</v>
      </c>
      <c r="D471" t="str">
        <f>VLOOKUP(A471, user_table!$A:$F, 5, FALSE)</f>
        <v>Desktop</v>
      </c>
      <c r="E471" t="str">
        <f>VLOOKUP(A471, user_table!$A:$F, 6, FALSE)</f>
        <v>Social</v>
      </c>
    </row>
    <row r="472" spans="1:5">
      <c r="A472">
        <v>1905</v>
      </c>
      <c r="B472" s="2">
        <v>45354.427083333336</v>
      </c>
      <c r="C472" t="str">
        <f>VLOOKUP(A472, user_table!$A:$B, 2, FALSE)</f>
        <v>Male</v>
      </c>
      <c r="D472" t="str">
        <f>VLOOKUP(A472, user_table!$A:$F, 5, FALSE)</f>
        <v>Mobile</v>
      </c>
      <c r="E472" t="str">
        <f>VLOOKUP(A472, user_table!$A:$F, 6, FALSE)</f>
        <v>Organic</v>
      </c>
    </row>
    <row r="473" spans="1:5">
      <c r="A473">
        <v>1182</v>
      </c>
      <c r="B473" s="2">
        <v>45293.029166666667</v>
      </c>
      <c r="C473" t="str">
        <f>VLOOKUP(A473, user_table!$A:$B, 2, FALSE)</f>
        <v>Male</v>
      </c>
      <c r="D473" t="str">
        <f>VLOOKUP(A473, user_table!$A:$F, 5, FALSE)</f>
        <v>Tablet</v>
      </c>
      <c r="E473" t="str">
        <f>VLOOKUP(A473, user_table!$A:$F, 6, FALSE)</f>
        <v>Paid</v>
      </c>
    </row>
    <row r="474" spans="1:5">
      <c r="A474">
        <v>1423</v>
      </c>
      <c r="B474" s="2">
        <v>45304.161805555559</v>
      </c>
      <c r="C474" t="str">
        <f>VLOOKUP(A474, user_table!$A:$B, 2, FALSE)</f>
        <v>Male</v>
      </c>
      <c r="D474" t="str">
        <f>VLOOKUP(A474, user_table!$A:$F, 5, FALSE)</f>
        <v>Mobile</v>
      </c>
      <c r="E474" t="str">
        <f>VLOOKUP(A474, user_table!$A:$F, 6, FALSE)</f>
        <v>Organic</v>
      </c>
    </row>
    <row r="475" spans="1:5">
      <c r="A475">
        <v>1998</v>
      </c>
      <c r="B475" s="2">
        <v>45366.896527777775</v>
      </c>
      <c r="C475" t="str">
        <f>VLOOKUP(A475, user_table!$A:$B, 2, FALSE)</f>
        <v>Male</v>
      </c>
      <c r="D475" t="str">
        <f>VLOOKUP(A475, user_table!$A:$F, 5, FALSE)</f>
        <v>Tablet</v>
      </c>
      <c r="E475" t="str">
        <f>VLOOKUP(A475, user_table!$A:$F, 6, FALSE)</f>
        <v>Social</v>
      </c>
    </row>
    <row r="476" spans="1:5">
      <c r="A476">
        <v>1184</v>
      </c>
      <c r="B476" s="2">
        <v>45312.117361111108</v>
      </c>
      <c r="C476" t="str">
        <f>VLOOKUP(A476, user_table!$A:$B, 2, FALSE)</f>
        <v>Female</v>
      </c>
      <c r="D476" t="str">
        <f>VLOOKUP(A476, user_table!$A:$F, 5, FALSE)</f>
        <v>Desktop</v>
      </c>
      <c r="E476" t="str">
        <f>VLOOKUP(A476, user_table!$A:$F, 6, FALSE)</f>
        <v>Social</v>
      </c>
    </row>
    <row r="477" spans="1:5">
      <c r="A477">
        <v>1341</v>
      </c>
      <c r="B477" s="2">
        <v>45358.115277777775</v>
      </c>
      <c r="C477" t="str">
        <f>VLOOKUP(A477, user_table!$A:$B, 2, FALSE)</f>
        <v>Male</v>
      </c>
      <c r="D477" t="str">
        <f>VLOOKUP(A477, user_table!$A:$F, 5, FALSE)</f>
        <v>Desktop</v>
      </c>
      <c r="E477" t="str">
        <f>VLOOKUP(A477, user_table!$A:$F, 6, FALSE)</f>
        <v>Email</v>
      </c>
    </row>
    <row r="478" spans="1:5">
      <c r="A478">
        <v>1422</v>
      </c>
      <c r="B478" s="2">
        <v>45305.361805555556</v>
      </c>
      <c r="C478" t="str">
        <f>VLOOKUP(A478, user_table!$A:$B, 2, FALSE)</f>
        <v>Female</v>
      </c>
      <c r="D478" t="str">
        <f>VLOOKUP(A478, user_table!$A:$F, 5, FALSE)</f>
        <v>Mobile</v>
      </c>
      <c r="E478" t="str">
        <f>VLOOKUP(A478, user_table!$A:$F, 6, FALSE)</f>
        <v>Social</v>
      </c>
    </row>
    <row r="479" spans="1:5">
      <c r="A479">
        <v>1963</v>
      </c>
      <c r="B479" s="2">
        <v>45322.595833333333</v>
      </c>
      <c r="C479" t="str">
        <f>VLOOKUP(A479, user_table!$A:$B, 2, FALSE)</f>
        <v>Male</v>
      </c>
      <c r="D479" t="str">
        <f>VLOOKUP(A479, user_table!$A:$F, 5, FALSE)</f>
        <v>Desktop</v>
      </c>
      <c r="E479" t="str">
        <f>VLOOKUP(A479, user_table!$A:$F, 6, FALSE)</f>
        <v>Direct</v>
      </c>
    </row>
    <row r="480" spans="1:5">
      <c r="A480">
        <v>1813</v>
      </c>
      <c r="B480" s="2">
        <v>45326.585416666669</v>
      </c>
      <c r="C480" t="str">
        <f>VLOOKUP(A480, user_table!$A:$B, 2, FALSE)</f>
        <v>Male</v>
      </c>
      <c r="D480" t="str">
        <f>VLOOKUP(A480, user_table!$A:$F, 5, FALSE)</f>
        <v>Mobile</v>
      </c>
      <c r="E480" t="str">
        <f>VLOOKUP(A480, user_table!$A:$F, 6, FALSE)</f>
        <v>Social</v>
      </c>
    </row>
    <row r="481" spans="1:5">
      <c r="A481">
        <v>1833</v>
      </c>
      <c r="B481" s="2">
        <v>45305.246527777781</v>
      </c>
      <c r="C481" t="str">
        <f>VLOOKUP(A481, user_table!$A:$B, 2, FALSE)</f>
        <v>Male</v>
      </c>
      <c r="D481" t="str">
        <f>VLOOKUP(A481, user_table!$A:$F, 5, FALSE)</f>
        <v>Mobile</v>
      </c>
      <c r="E481" t="str">
        <f>VLOOKUP(A481, user_table!$A:$F, 6, FALSE)</f>
        <v>Social</v>
      </c>
    </row>
    <row r="482" spans="1:5">
      <c r="A482">
        <v>1111</v>
      </c>
      <c r="B482" s="2">
        <v>45298.390972222223</v>
      </c>
      <c r="C482" t="str">
        <f>VLOOKUP(A482, user_table!$A:$B, 2, FALSE)</f>
        <v>Male</v>
      </c>
      <c r="D482" t="str">
        <f>VLOOKUP(A482, user_table!$A:$F, 5, FALSE)</f>
        <v>Mobile</v>
      </c>
      <c r="E482" t="str">
        <f>VLOOKUP(A482, user_table!$A:$F, 6, FALSE)</f>
        <v>Paid</v>
      </c>
    </row>
    <row r="483" spans="1:5">
      <c r="A483">
        <v>1392</v>
      </c>
      <c r="B483" s="2">
        <v>45379.435416666667</v>
      </c>
      <c r="C483" t="str">
        <f>VLOOKUP(A483, user_table!$A:$B, 2, FALSE)</f>
        <v>Male</v>
      </c>
      <c r="D483" t="str">
        <f>VLOOKUP(A483, user_table!$A:$F, 5, FALSE)</f>
        <v>Desktop</v>
      </c>
      <c r="E483" t="str">
        <f>VLOOKUP(A483, user_table!$A:$F, 6, FALSE)</f>
        <v>Social</v>
      </c>
    </row>
    <row r="484" spans="1:5">
      <c r="A484">
        <v>1040</v>
      </c>
      <c r="B484" s="2">
        <v>45307.162499999999</v>
      </c>
      <c r="C484" t="str">
        <f>VLOOKUP(A484, user_table!$A:$B, 2, FALSE)</f>
        <v>Male</v>
      </c>
      <c r="D484" t="str">
        <f>VLOOKUP(A484, user_table!$A:$F, 5, FALSE)</f>
        <v>Tablet</v>
      </c>
      <c r="E484" t="str">
        <f>VLOOKUP(A484, user_table!$A:$F, 6, FALSE)</f>
        <v>Social</v>
      </c>
    </row>
    <row r="485" spans="1:5">
      <c r="A485">
        <v>1482</v>
      </c>
      <c r="B485" s="2">
        <v>45298.037499999999</v>
      </c>
      <c r="C485" t="str">
        <f>VLOOKUP(A485, user_table!$A:$B, 2, FALSE)</f>
        <v>Female</v>
      </c>
      <c r="D485" t="str">
        <f>VLOOKUP(A485, user_table!$A:$F, 5, FALSE)</f>
        <v>Mobile</v>
      </c>
      <c r="E485" t="str">
        <f>VLOOKUP(A485, user_table!$A:$F, 6, FALSE)</f>
        <v>Email</v>
      </c>
    </row>
    <row r="486" spans="1:5">
      <c r="A486">
        <v>1228</v>
      </c>
      <c r="B486" s="2">
        <v>45310.90347222222</v>
      </c>
      <c r="C486" t="str">
        <f>VLOOKUP(A486, user_table!$A:$B, 2, FALSE)</f>
        <v>Male</v>
      </c>
      <c r="D486" t="str">
        <f>VLOOKUP(A486, user_table!$A:$F, 5, FALSE)</f>
        <v>Mobile</v>
      </c>
      <c r="E486" t="str">
        <f>VLOOKUP(A486, user_table!$A:$F, 6, FALSE)</f>
        <v>Paid</v>
      </c>
    </row>
    <row r="487" spans="1:5">
      <c r="A487">
        <v>1205</v>
      </c>
      <c r="B487" s="2">
        <v>45314.431944444441</v>
      </c>
      <c r="C487" t="str">
        <f>VLOOKUP(A487, user_table!$A:$B, 2, FALSE)</f>
        <v>Female</v>
      </c>
      <c r="D487" t="str">
        <f>VLOOKUP(A487, user_table!$A:$F, 5, FALSE)</f>
        <v>Mobile</v>
      </c>
      <c r="E487" t="str">
        <f>VLOOKUP(A487, user_table!$A:$F, 6, FALSE)</f>
        <v>Paid</v>
      </c>
    </row>
    <row r="488" spans="1:5">
      <c r="A488">
        <v>1472</v>
      </c>
      <c r="B488" s="2">
        <v>45349.803472222222</v>
      </c>
      <c r="C488" t="str">
        <f>VLOOKUP(A488, user_table!$A:$B, 2, FALSE)</f>
        <v>Female</v>
      </c>
      <c r="D488" t="str">
        <f>VLOOKUP(A488, user_table!$A:$F, 5, FALSE)</f>
        <v>Mobile</v>
      </c>
      <c r="E488" t="str">
        <f>VLOOKUP(A488, user_table!$A:$F, 6, FALSE)</f>
        <v>Social</v>
      </c>
    </row>
    <row r="489" spans="1:5">
      <c r="A489">
        <v>1359</v>
      </c>
      <c r="B489" s="2">
        <v>45304.494444444441</v>
      </c>
      <c r="C489" t="str">
        <f>VLOOKUP(A489, user_table!$A:$B, 2, FALSE)</f>
        <v>Female</v>
      </c>
      <c r="D489" t="str">
        <f>VLOOKUP(A489, user_table!$A:$F, 5, FALSE)</f>
        <v>Desktop</v>
      </c>
      <c r="E489" t="str">
        <f>VLOOKUP(A489, user_table!$A:$F, 6, FALSE)</f>
        <v>Paid</v>
      </c>
    </row>
    <row r="490" spans="1:5">
      <c r="A490">
        <v>1313</v>
      </c>
      <c r="B490" s="2">
        <v>45336.213194444441</v>
      </c>
      <c r="C490" t="str">
        <f>VLOOKUP(A490, user_table!$A:$B, 2, FALSE)</f>
        <v>Male</v>
      </c>
      <c r="D490" t="str">
        <f>VLOOKUP(A490, user_table!$A:$F, 5, FALSE)</f>
        <v>Desktop</v>
      </c>
      <c r="E490" t="str">
        <f>VLOOKUP(A490, user_table!$A:$F, 6, FALSE)</f>
        <v>Organic</v>
      </c>
    </row>
    <row r="491" spans="1:5">
      <c r="A491">
        <v>1816</v>
      </c>
      <c r="B491" s="2">
        <v>45344.520138888889</v>
      </c>
      <c r="C491" t="str">
        <f>VLOOKUP(A491, user_table!$A:$B, 2, FALSE)</f>
        <v>Male</v>
      </c>
      <c r="D491" t="str">
        <f>VLOOKUP(A491, user_table!$A:$F, 5, FALSE)</f>
        <v>Mobile</v>
      </c>
      <c r="E491" t="str">
        <f>VLOOKUP(A491, user_table!$A:$F, 6, FALSE)</f>
        <v>Paid</v>
      </c>
    </row>
    <row r="492" spans="1:5">
      <c r="A492">
        <v>1408</v>
      </c>
      <c r="B492" s="2">
        <v>45327.530555555553</v>
      </c>
      <c r="C492" t="str">
        <f>VLOOKUP(A492, user_table!$A:$B, 2, FALSE)</f>
        <v>Male</v>
      </c>
      <c r="D492" t="str">
        <f>VLOOKUP(A492, user_table!$A:$F, 5, FALSE)</f>
        <v>Mobile</v>
      </c>
      <c r="E492" t="str">
        <f>VLOOKUP(A492, user_table!$A:$F, 6, FALSE)</f>
        <v>Email</v>
      </c>
    </row>
    <row r="493" spans="1:5">
      <c r="A493">
        <v>1447</v>
      </c>
      <c r="B493" s="2">
        <v>45354.570138888892</v>
      </c>
      <c r="C493" t="str">
        <f>VLOOKUP(A493, user_table!$A:$B, 2, FALSE)</f>
        <v>Female</v>
      </c>
      <c r="D493" t="str">
        <f>VLOOKUP(A493, user_table!$A:$F, 5, FALSE)</f>
        <v>Mobile</v>
      </c>
      <c r="E493" t="str">
        <f>VLOOKUP(A493, user_table!$A:$F, 6, FALSE)</f>
        <v>Email</v>
      </c>
    </row>
    <row r="494" spans="1:5">
      <c r="A494">
        <v>1117</v>
      </c>
      <c r="B494" s="2">
        <v>45314.130555555559</v>
      </c>
      <c r="C494" t="str">
        <f>VLOOKUP(A494, user_table!$A:$B, 2, FALSE)</f>
        <v>Female</v>
      </c>
      <c r="D494" t="str">
        <f>VLOOKUP(A494, user_table!$A:$F, 5, FALSE)</f>
        <v>Desktop</v>
      </c>
      <c r="E494" t="str">
        <f>VLOOKUP(A494, user_table!$A:$F, 6, FALSE)</f>
        <v>Social</v>
      </c>
    </row>
    <row r="495" spans="1:5">
      <c r="A495">
        <v>1685</v>
      </c>
      <c r="B495" s="2">
        <v>45382.960416666669</v>
      </c>
      <c r="C495" t="str">
        <f>VLOOKUP(A495, user_table!$A:$B, 2, FALSE)</f>
        <v>Female</v>
      </c>
      <c r="D495" t="str">
        <f>VLOOKUP(A495, user_table!$A:$F, 5, FALSE)</f>
        <v>Desktop</v>
      </c>
      <c r="E495" t="str">
        <f>VLOOKUP(A495, user_table!$A:$F, 6, FALSE)</f>
        <v>Email</v>
      </c>
    </row>
    <row r="496" spans="1:5">
      <c r="A496">
        <v>1013</v>
      </c>
      <c r="B496" s="2">
        <v>45313.143055555556</v>
      </c>
      <c r="C496" t="str">
        <f>VLOOKUP(A496, user_table!$A:$B, 2, FALSE)</f>
        <v>Female</v>
      </c>
      <c r="D496" t="str">
        <f>VLOOKUP(A496, user_table!$A:$F, 5, FALSE)</f>
        <v>Tablet</v>
      </c>
      <c r="E496" t="str">
        <f>VLOOKUP(A496, user_table!$A:$F, 6, FALSE)</f>
        <v>Social</v>
      </c>
    </row>
    <row r="497" spans="1:5">
      <c r="A497">
        <v>1338</v>
      </c>
      <c r="B497" s="2">
        <v>45368.660416666666</v>
      </c>
      <c r="C497" t="str">
        <f>VLOOKUP(A497, user_table!$A:$B, 2, FALSE)</f>
        <v>Female</v>
      </c>
      <c r="D497" t="str">
        <f>VLOOKUP(A497, user_table!$A:$F, 5, FALSE)</f>
        <v>Tablet</v>
      </c>
      <c r="E497" t="str">
        <f>VLOOKUP(A497, user_table!$A:$F, 6, FALSE)</f>
        <v>Organic</v>
      </c>
    </row>
    <row r="498" spans="1:5">
      <c r="A498">
        <v>1099</v>
      </c>
      <c r="B498" s="2">
        <v>45365.894444444442</v>
      </c>
      <c r="C498" t="str">
        <f>VLOOKUP(A498, user_table!$A:$B, 2, FALSE)</f>
        <v>Male</v>
      </c>
      <c r="D498" t="str">
        <f>VLOOKUP(A498, user_table!$A:$F, 5, FALSE)</f>
        <v>Desktop</v>
      </c>
      <c r="E498" t="str">
        <f>VLOOKUP(A498, user_table!$A:$F, 6, FALSE)</f>
        <v>Organic</v>
      </c>
    </row>
    <row r="499" spans="1:5">
      <c r="A499">
        <v>1637</v>
      </c>
      <c r="B499" s="2">
        <v>45316.808333333334</v>
      </c>
      <c r="C499" t="str">
        <f>VLOOKUP(A499, user_table!$A:$B, 2, FALSE)</f>
        <v>Female</v>
      </c>
      <c r="D499" t="str">
        <f>VLOOKUP(A499, user_table!$A:$F, 5, FALSE)</f>
        <v>Desktop</v>
      </c>
      <c r="E499" t="str">
        <f>VLOOKUP(A499, user_table!$A:$F, 6, FALSE)</f>
        <v>Paid</v>
      </c>
    </row>
    <row r="500" spans="1:5">
      <c r="A500">
        <v>1660</v>
      </c>
      <c r="B500" s="2">
        <v>45338.792361111111</v>
      </c>
      <c r="C500" t="str">
        <f>VLOOKUP(A500, user_table!$A:$B, 2, FALSE)</f>
        <v>Female</v>
      </c>
      <c r="D500" t="str">
        <f>VLOOKUP(A500, user_table!$A:$F, 5, FALSE)</f>
        <v>Desktop</v>
      </c>
      <c r="E500" t="str">
        <f>VLOOKUP(A500, user_table!$A:$F, 6, FALSE)</f>
        <v>Direct</v>
      </c>
    </row>
    <row r="501" spans="1:5">
      <c r="A501">
        <v>1928</v>
      </c>
      <c r="B501" s="2">
        <v>45380.997916666667</v>
      </c>
      <c r="C501" t="str">
        <f>VLOOKUP(A501, user_table!$A:$B, 2, FALSE)</f>
        <v>Female</v>
      </c>
      <c r="D501" t="str">
        <f>VLOOKUP(A501, user_table!$A:$F, 5, FALSE)</f>
        <v>Desktop</v>
      </c>
      <c r="E501" t="str">
        <f>VLOOKUP(A501, user_table!$A:$F, 6, FALSE)</f>
        <v>Social</v>
      </c>
    </row>
    <row r="502" spans="1:5">
      <c r="A502">
        <v>1443</v>
      </c>
      <c r="B502" s="2">
        <v>45309.665277777778</v>
      </c>
      <c r="C502" t="str">
        <f>VLOOKUP(A502, user_table!$A:$B, 2, FALSE)</f>
        <v>Male</v>
      </c>
      <c r="D502" t="str">
        <f>VLOOKUP(A502, user_table!$A:$F, 5, FALSE)</f>
        <v>Desktop</v>
      </c>
      <c r="E502" t="str">
        <f>VLOOKUP(A502, user_table!$A:$F, 6, FALSE)</f>
        <v>Organic</v>
      </c>
    </row>
    <row r="503" spans="1:5">
      <c r="A503">
        <v>1036</v>
      </c>
      <c r="B503" s="2">
        <v>45355.163888888892</v>
      </c>
      <c r="C503" t="str">
        <f>VLOOKUP(A503, user_table!$A:$B, 2, FALSE)</f>
        <v>Female</v>
      </c>
      <c r="D503" t="str">
        <f>VLOOKUP(A503, user_table!$A:$F, 5, FALSE)</f>
        <v>Desktop</v>
      </c>
      <c r="E503" t="str">
        <f>VLOOKUP(A503, user_table!$A:$F, 6, FALSE)</f>
        <v>Social</v>
      </c>
    </row>
    <row r="504" spans="1:5">
      <c r="A504">
        <v>1496</v>
      </c>
      <c r="B504" s="2">
        <v>45345.584722222222</v>
      </c>
      <c r="C504" t="str">
        <f>VLOOKUP(A504, user_table!$A:$B, 2, FALSE)</f>
        <v>Male</v>
      </c>
      <c r="D504" t="str">
        <f>VLOOKUP(A504, user_table!$A:$F, 5, FALSE)</f>
        <v>Desktop</v>
      </c>
      <c r="E504" t="str">
        <f>VLOOKUP(A504, user_table!$A:$F, 6, FALSE)</f>
        <v>Email</v>
      </c>
    </row>
    <row r="505" spans="1:5">
      <c r="A505">
        <v>1396</v>
      </c>
      <c r="B505" s="2">
        <v>45301.361805555556</v>
      </c>
      <c r="C505" t="str">
        <f>VLOOKUP(A505, user_table!$A:$B, 2, FALSE)</f>
        <v>Female</v>
      </c>
      <c r="D505" t="str">
        <f>VLOOKUP(A505, user_table!$A:$F, 5, FALSE)</f>
        <v>Desktop</v>
      </c>
      <c r="E505" t="str">
        <f>VLOOKUP(A505, user_table!$A:$F, 6, FALSE)</f>
        <v>Organic</v>
      </c>
    </row>
    <row r="506" spans="1:5">
      <c r="A506">
        <v>1565</v>
      </c>
      <c r="B506" s="2">
        <v>45333.03125</v>
      </c>
      <c r="C506" t="str">
        <f>VLOOKUP(A506, user_table!$A:$B, 2, FALSE)</f>
        <v>Male</v>
      </c>
      <c r="D506" t="str">
        <f>VLOOKUP(A506, user_table!$A:$F, 5, FALSE)</f>
        <v>Desktop</v>
      </c>
      <c r="E506" t="str">
        <f>VLOOKUP(A506, user_table!$A:$F, 6, FALSE)</f>
        <v>Paid</v>
      </c>
    </row>
    <row r="507" spans="1:5">
      <c r="A507">
        <v>1180</v>
      </c>
      <c r="B507" s="2">
        <v>45379.700694444444</v>
      </c>
      <c r="C507" t="str">
        <f>VLOOKUP(A507, user_table!$A:$B, 2, FALSE)</f>
        <v>Male</v>
      </c>
      <c r="D507" t="str">
        <f>VLOOKUP(A507, user_table!$A:$F, 5, FALSE)</f>
        <v>Mobile</v>
      </c>
      <c r="E507" t="str">
        <f>VLOOKUP(A507, user_table!$A:$F, 6, FALSE)</f>
        <v>Organic</v>
      </c>
    </row>
    <row r="508" spans="1:5">
      <c r="A508">
        <v>1329</v>
      </c>
      <c r="B508" s="2">
        <v>45366.98333333333</v>
      </c>
      <c r="C508" t="str">
        <f>VLOOKUP(A508, user_table!$A:$B, 2, FALSE)</f>
        <v>Male</v>
      </c>
      <c r="D508" t="str">
        <f>VLOOKUP(A508, user_table!$A:$F, 5, FALSE)</f>
        <v>Desktop</v>
      </c>
      <c r="E508" t="str">
        <f>VLOOKUP(A508, user_table!$A:$F, 6, FALSE)</f>
        <v>Organic</v>
      </c>
    </row>
    <row r="509" spans="1:5">
      <c r="A509">
        <v>1261</v>
      </c>
      <c r="B509" s="2">
        <v>45321.913194444445</v>
      </c>
      <c r="C509" t="str">
        <f>VLOOKUP(A509, user_table!$A:$B, 2, FALSE)</f>
        <v>Female</v>
      </c>
      <c r="D509" t="str">
        <f>VLOOKUP(A509, user_table!$A:$F, 5, FALSE)</f>
        <v>Mobile</v>
      </c>
      <c r="E509" t="str">
        <f>VLOOKUP(A509, user_table!$A:$F, 6, FALSE)</f>
        <v>Email</v>
      </c>
    </row>
    <row r="510" spans="1:5">
      <c r="A510">
        <v>1503</v>
      </c>
      <c r="B510" s="2">
        <v>45336.689583333333</v>
      </c>
      <c r="C510" t="str">
        <f>VLOOKUP(A510, user_table!$A:$B, 2, FALSE)</f>
        <v>Male</v>
      </c>
      <c r="D510" t="str">
        <f>VLOOKUP(A510, user_table!$A:$F, 5, FALSE)</f>
        <v>Desktop</v>
      </c>
      <c r="E510" t="str">
        <f>VLOOKUP(A510, user_table!$A:$F, 6, FALSE)</f>
        <v>Social</v>
      </c>
    </row>
    <row r="511" spans="1:5">
      <c r="A511">
        <v>1696</v>
      </c>
      <c r="B511" s="2">
        <v>45381.943749999999</v>
      </c>
      <c r="C511" t="str">
        <f>VLOOKUP(A511, user_table!$A:$B, 2, FALSE)</f>
        <v>Female</v>
      </c>
      <c r="D511" t="str">
        <f>VLOOKUP(A511, user_table!$A:$F, 5, FALSE)</f>
        <v>Desktop</v>
      </c>
      <c r="E511" t="str">
        <f>VLOOKUP(A511, user_table!$A:$F, 6, FALSE)</f>
        <v>Social</v>
      </c>
    </row>
    <row r="512" spans="1:5">
      <c r="A512">
        <v>1432</v>
      </c>
      <c r="B512" s="2">
        <v>45305.570833333331</v>
      </c>
      <c r="C512" t="str">
        <f>VLOOKUP(A512, user_table!$A:$B, 2, FALSE)</f>
        <v>Female</v>
      </c>
      <c r="D512" t="str">
        <f>VLOOKUP(A512, user_table!$A:$F, 5, FALSE)</f>
        <v>Mobile</v>
      </c>
      <c r="E512" t="str">
        <f>VLOOKUP(A512, user_table!$A:$F, 6, FALSE)</f>
        <v>Direct</v>
      </c>
    </row>
    <row r="513" spans="1:5">
      <c r="A513">
        <v>1869</v>
      </c>
      <c r="B513" s="2">
        <v>45324.640277777777</v>
      </c>
      <c r="C513" t="str">
        <f>VLOOKUP(A513, user_table!$A:$B, 2, FALSE)</f>
        <v>Female</v>
      </c>
      <c r="D513" t="str">
        <f>VLOOKUP(A513, user_table!$A:$F, 5, FALSE)</f>
        <v>Desktop</v>
      </c>
      <c r="E513" t="str">
        <f>VLOOKUP(A513, user_table!$A:$F, 6, FALSE)</f>
        <v>Organic</v>
      </c>
    </row>
    <row r="514" spans="1:5">
      <c r="A514">
        <v>1997</v>
      </c>
      <c r="B514" s="2">
        <v>45377.90347222222</v>
      </c>
      <c r="C514" t="str">
        <f>VLOOKUP(A514, user_table!$A:$B, 2, FALSE)</f>
        <v>Female</v>
      </c>
      <c r="D514" t="str">
        <f>VLOOKUP(A514, user_table!$A:$F, 5, FALSE)</f>
        <v>Mobile</v>
      </c>
      <c r="E514" t="str">
        <f>VLOOKUP(A514, user_table!$A:$F, 6, FALSE)</f>
        <v>Organic</v>
      </c>
    </row>
    <row r="515" spans="1:5">
      <c r="A515">
        <v>1481</v>
      </c>
      <c r="B515" s="2">
        <v>45342.203472222223</v>
      </c>
      <c r="C515" t="str">
        <f>VLOOKUP(A515, user_table!$A:$B, 2, FALSE)</f>
        <v>Female</v>
      </c>
      <c r="D515" t="str">
        <f>VLOOKUP(A515, user_table!$A:$F, 5, FALSE)</f>
        <v>Mobile</v>
      </c>
      <c r="E515" t="str">
        <f>VLOOKUP(A515, user_table!$A:$F, 6, FALSE)</f>
        <v>Organic</v>
      </c>
    </row>
    <row r="516" spans="1:5">
      <c r="A516">
        <v>1015</v>
      </c>
      <c r="B516" s="2">
        <v>45364.793749999997</v>
      </c>
      <c r="C516" t="str">
        <f>VLOOKUP(A516, user_table!$A:$B, 2, FALSE)</f>
        <v>Male</v>
      </c>
      <c r="D516" t="str">
        <f>VLOOKUP(A516, user_table!$A:$F, 5, FALSE)</f>
        <v>Desktop</v>
      </c>
      <c r="E516" t="str">
        <f>VLOOKUP(A516, user_table!$A:$F, 6, FALSE)</f>
        <v>Organic</v>
      </c>
    </row>
    <row r="517" spans="1:5">
      <c r="A517">
        <v>1646</v>
      </c>
      <c r="B517" s="2">
        <v>45294.874305555553</v>
      </c>
      <c r="C517" t="str">
        <f>VLOOKUP(A517, user_table!$A:$B, 2, FALSE)</f>
        <v>Female</v>
      </c>
      <c r="D517" t="str">
        <f>VLOOKUP(A517, user_table!$A:$F, 5, FALSE)</f>
        <v>Desktop</v>
      </c>
      <c r="E517" t="str">
        <f>VLOOKUP(A517, user_table!$A:$F, 6, FALSE)</f>
        <v>Social</v>
      </c>
    </row>
    <row r="518" spans="1:5">
      <c r="A518">
        <v>1450</v>
      </c>
      <c r="B518" s="2">
        <v>45313.70416666667</v>
      </c>
      <c r="C518" t="str">
        <f>VLOOKUP(A518, user_table!$A:$B, 2, FALSE)</f>
        <v>Male</v>
      </c>
      <c r="D518" t="str">
        <f>VLOOKUP(A518, user_table!$A:$F, 5, FALSE)</f>
        <v>Desktop</v>
      </c>
      <c r="E518" t="str">
        <f>VLOOKUP(A518, user_table!$A:$F, 6, FALSE)</f>
        <v>Paid</v>
      </c>
    </row>
    <row r="519" spans="1:5">
      <c r="A519">
        <v>1930</v>
      </c>
      <c r="B519" s="2">
        <v>45353.663194444445</v>
      </c>
      <c r="C519" t="str">
        <f>VLOOKUP(A519, user_table!$A:$B, 2, FALSE)</f>
        <v>Male</v>
      </c>
      <c r="D519" t="str">
        <f>VLOOKUP(A519, user_table!$A:$F, 5, FALSE)</f>
        <v>Desktop</v>
      </c>
      <c r="E519" t="str">
        <f>VLOOKUP(A519, user_table!$A:$F, 6, FALSE)</f>
        <v>Organic</v>
      </c>
    </row>
    <row r="520" spans="1:5">
      <c r="A520">
        <v>1092</v>
      </c>
      <c r="B520" s="2">
        <v>45314.116666666669</v>
      </c>
      <c r="C520" t="str">
        <f>VLOOKUP(A520, user_table!$A:$B, 2, FALSE)</f>
        <v>Female</v>
      </c>
      <c r="D520" t="str">
        <f>VLOOKUP(A520, user_table!$A:$F, 5, FALSE)</f>
        <v>Desktop</v>
      </c>
      <c r="E520" t="str">
        <f>VLOOKUP(A520, user_table!$A:$F, 6, FALSE)</f>
        <v>Social</v>
      </c>
    </row>
    <row r="521" spans="1:5">
      <c r="A521">
        <v>1298</v>
      </c>
      <c r="B521" s="2">
        <v>45355.427083333336</v>
      </c>
      <c r="C521" t="str">
        <f>VLOOKUP(A521, user_table!$A:$B, 2, FALSE)</f>
        <v>Male</v>
      </c>
      <c r="D521" t="str">
        <f>VLOOKUP(A521, user_table!$A:$F, 5, FALSE)</f>
        <v>Mobile</v>
      </c>
      <c r="E521" t="str">
        <f>VLOOKUP(A521, user_table!$A:$F, 6, FALSE)</f>
        <v>Organic</v>
      </c>
    </row>
    <row r="522" spans="1:5">
      <c r="A522">
        <v>1757</v>
      </c>
      <c r="B522" s="2">
        <v>45335.335416666669</v>
      </c>
      <c r="C522" t="str">
        <f>VLOOKUP(A522, user_table!$A:$B, 2, FALSE)</f>
        <v>Female</v>
      </c>
      <c r="D522" t="str">
        <f>VLOOKUP(A522, user_table!$A:$F, 5, FALSE)</f>
        <v>Desktop</v>
      </c>
      <c r="E522" t="str">
        <f>VLOOKUP(A522, user_table!$A:$F, 6, FALSE)</f>
        <v>Paid</v>
      </c>
    </row>
    <row r="523" spans="1:5">
      <c r="A523">
        <v>1779</v>
      </c>
      <c r="B523" s="2">
        <v>45357.315972222219</v>
      </c>
      <c r="C523" t="str">
        <f>VLOOKUP(A523, user_table!$A:$B, 2, FALSE)</f>
        <v>Female</v>
      </c>
      <c r="D523" t="str">
        <f>VLOOKUP(A523, user_table!$A:$F, 5, FALSE)</f>
        <v>Desktop</v>
      </c>
      <c r="E523" t="str">
        <f>VLOOKUP(A523, user_table!$A:$F, 6, FALSE)</f>
        <v>Email</v>
      </c>
    </row>
    <row r="524" spans="1:5">
      <c r="A524">
        <v>1819</v>
      </c>
      <c r="B524" s="2">
        <v>45375.517361111109</v>
      </c>
      <c r="C524" t="str">
        <f>VLOOKUP(A524, user_table!$A:$B, 2, FALSE)</f>
        <v>Male</v>
      </c>
      <c r="D524" t="str">
        <f>VLOOKUP(A524, user_table!$A:$F, 5, FALSE)</f>
        <v>Desktop</v>
      </c>
      <c r="E524" t="str">
        <f>VLOOKUP(A524, user_table!$A:$F, 6, FALSE)</f>
        <v>Organic</v>
      </c>
    </row>
    <row r="525" spans="1:5">
      <c r="A525">
        <v>1794</v>
      </c>
      <c r="B525" s="2">
        <v>45323.103472222225</v>
      </c>
      <c r="C525" t="str">
        <f>VLOOKUP(A525, user_table!$A:$B, 2, FALSE)</f>
        <v>Female</v>
      </c>
      <c r="D525" t="str">
        <f>VLOOKUP(A525, user_table!$A:$F, 5, FALSE)</f>
        <v>Desktop</v>
      </c>
      <c r="E525" t="str">
        <f>VLOOKUP(A525, user_table!$A:$F, 6, FALSE)</f>
        <v>Organic</v>
      </c>
    </row>
    <row r="526" spans="1:5">
      <c r="A526">
        <v>1727</v>
      </c>
      <c r="B526" s="2">
        <v>45349.769444444442</v>
      </c>
      <c r="C526" t="str">
        <f>VLOOKUP(A526, user_table!$A:$B, 2, FALSE)</f>
        <v>Male</v>
      </c>
      <c r="D526" t="str">
        <f>VLOOKUP(A526, user_table!$A:$F, 5, FALSE)</f>
        <v>Desktop</v>
      </c>
      <c r="E526" t="str">
        <f>VLOOKUP(A526, user_table!$A:$F, 6, FALSE)</f>
        <v>Organic</v>
      </c>
    </row>
    <row r="527" spans="1:5">
      <c r="A527">
        <v>1177</v>
      </c>
      <c r="B527" s="2">
        <v>45304.644444444442</v>
      </c>
      <c r="C527" t="str">
        <f>VLOOKUP(A527, user_table!$A:$B, 2, FALSE)</f>
        <v>Female</v>
      </c>
      <c r="D527" t="str">
        <f>VLOOKUP(A527, user_table!$A:$F, 5, FALSE)</f>
        <v>Mobile</v>
      </c>
      <c r="E527" t="str">
        <f>VLOOKUP(A527, user_table!$A:$F, 6, FALSE)</f>
        <v>Direct</v>
      </c>
    </row>
    <row r="528" spans="1:5">
      <c r="A528">
        <v>1540</v>
      </c>
      <c r="B528" s="2">
        <v>45333.146527777775</v>
      </c>
      <c r="C528" t="str">
        <f>VLOOKUP(A528, user_table!$A:$B, 2, FALSE)</f>
        <v>Male</v>
      </c>
      <c r="D528" t="str">
        <f>VLOOKUP(A528, user_table!$A:$F, 5, FALSE)</f>
        <v>Mobile</v>
      </c>
      <c r="E528" t="str">
        <f>VLOOKUP(A528, user_table!$A:$F, 6, FALSE)</f>
        <v>Organic</v>
      </c>
    </row>
    <row r="529" spans="1:5">
      <c r="A529">
        <v>1403</v>
      </c>
      <c r="B529" s="2">
        <v>45376.004166666666</v>
      </c>
      <c r="C529" t="str">
        <f>VLOOKUP(A529, user_table!$A:$B, 2, FALSE)</f>
        <v>Male</v>
      </c>
      <c r="D529" t="str">
        <f>VLOOKUP(A529, user_table!$A:$F, 5, FALSE)</f>
        <v>Mobile</v>
      </c>
      <c r="E529" t="str">
        <f>VLOOKUP(A529, user_table!$A:$F, 6, FALSE)</f>
        <v>Email</v>
      </c>
    </row>
    <row r="530" spans="1:5">
      <c r="A530">
        <v>1161</v>
      </c>
      <c r="B530" s="2">
        <v>45344.543055555558</v>
      </c>
      <c r="C530" t="str">
        <f>VLOOKUP(A530, user_table!$A:$B, 2, FALSE)</f>
        <v>Male</v>
      </c>
      <c r="D530" t="str">
        <f>VLOOKUP(A530, user_table!$A:$F, 5, FALSE)</f>
        <v>Mobile</v>
      </c>
      <c r="E530" t="str">
        <f>VLOOKUP(A530, user_table!$A:$F, 6, FALSE)</f>
        <v>Email</v>
      </c>
    </row>
    <row r="531" spans="1:5">
      <c r="A531">
        <v>1980</v>
      </c>
      <c r="B531" s="2">
        <v>45364.708333333336</v>
      </c>
      <c r="C531" t="str">
        <f>VLOOKUP(A531, user_table!$A:$B, 2, FALSE)</f>
        <v>Female</v>
      </c>
      <c r="D531" t="str">
        <f>VLOOKUP(A531, user_table!$A:$F, 5, FALSE)</f>
        <v>Tablet</v>
      </c>
      <c r="E531" t="str">
        <f>VLOOKUP(A531, user_table!$A:$F, 6, FALSE)</f>
        <v>Paid</v>
      </c>
    </row>
    <row r="532" spans="1:5">
      <c r="A532">
        <v>1311</v>
      </c>
      <c r="B532" s="2">
        <v>45304.818749999999</v>
      </c>
      <c r="C532" t="str">
        <f>VLOOKUP(A532, user_table!$A:$B, 2, FALSE)</f>
        <v>Male</v>
      </c>
      <c r="D532" t="str">
        <f>VLOOKUP(A532, user_table!$A:$F, 5, FALSE)</f>
        <v>Mobile</v>
      </c>
      <c r="E532" t="str">
        <f>VLOOKUP(A532, user_table!$A:$F, 6, FALSE)</f>
        <v>Organic</v>
      </c>
    </row>
    <row r="533" spans="1:5">
      <c r="A533">
        <v>1262</v>
      </c>
      <c r="B533" s="2">
        <v>45374.413888888892</v>
      </c>
      <c r="C533" t="str">
        <f>VLOOKUP(A533, user_table!$A:$B, 2, FALSE)</f>
        <v>Female</v>
      </c>
      <c r="D533" t="str">
        <f>VLOOKUP(A533, user_table!$A:$F, 5, FALSE)</f>
        <v>Desktop</v>
      </c>
      <c r="E533" t="str">
        <f>VLOOKUP(A533, user_table!$A:$F, 6, FALSE)</f>
        <v>Organic</v>
      </c>
    </row>
    <row r="534" spans="1:5">
      <c r="A534">
        <v>1708</v>
      </c>
      <c r="B534" s="2">
        <v>45358.717361111114</v>
      </c>
      <c r="C534" t="str">
        <f>VLOOKUP(A534, user_table!$A:$B, 2, FALSE)</f>
        <v>Female</v>
      </c>
      <c r="D534" t="str">
        <f>VLOOKUP(A534, user_table!$A:$F, 5, FALSE)</f>
        <v>Mobile</v>
      </c>
      <c r="E534" t="str">
        <f>VLOOKUP(A534, user_table!$A:$F, 6, FALSE)</f>
        <v>Organic</v>
      </c>
    </row>
    <row r="535" spans="1:5">
      <c r="A535">
        <v>1198</v>
      </c>
      <c r="B535" s="2">
        <v>45376.895138888889</v>
      </c>
      <c r="C535" t="str">
        <f>VLOOKUP(A535, user_table!$A:$B, 2, FALSE)</f>
        <v>Female</v>
      </c>
      <c r="D535" t="str">
        <f>VLOOKUP(A535, user_table!$A:$F, 5, FALSE)</f>
        <v>Desktop</v>
      </c>
      <c r="E535" t="str">
        <f>VLOOKUP(A535, user_table!$A:$F, 6, FALSE)</f>
        <v>Email</v>
      </c>
    </row>
    <row r="536" spans="1:5">
      <c r="A536">
        <v>1461</v>
      </c>
      <c r="B536" s="2">
        <v>45336.494444444441</v>
      </c>
      <c r="C536" t="str">
        <f>VLOOKUP(A536, user_table!$A:$B, 2, FALSE)</f>
        <v>Male</v>
      </c>
      <c r="D536" t="str">
        <f>VLOOKUP(A536, user_table!$A:$F, 5, FALSE)</f>
        <v>Desktop</v>
      </c>
      <c r="E536" t="str">
        <f>VLOOKUP(A536, user_table!$A:$F, 6, FALSE)</f>
        <v>Social</v>
      </c>
    </row>
    <row r="537" spans="1:5">
      <c r="A537">
        <v>1296</v>
      </c>
      <c r="B537" s="2">
        <v>45299.32916666667</v>
      </c>
      <c r="C537" t="str">
        <f>VLOOKUP(A537, user_table!$A:$B, 2, FALSE)</f>
        <v>Female</v>
      </c>
      <c r="D537" t="str">
        <f>VLOOKUP(A537, user_table!$A:$F, 5, FALSE)</f>
        <v>Tablet</v>
      </c>
      <c r="E537" t="str">
        <f>VLOOKUP(A537, user_table!$A:$F, 6, FALSE)</f>
        <v>Paid</v>
      </c>
    </row>
    <row r="538" spans="1:5">
      <c r="A538">
        <v>1098</v>
      </c>
      <c r="B538" s="2">
        <v>45351.440972222219</v>
      </c>
      <c r="C538" t="str">
        <f>VLOOKUP(A538, user_table!$A:$B, 2, FALSE)</f>
        <v>Male</v>
      </c>
      <c r="D538" t="str">
        <f>VLOOKUP(A538, user_table!$A:$F, 5, FALSE)</f>
        <v>Desktop</v>
      </c>
      <c r="E538" t="str">
        <f>VLOOKUP(A538, user_table!$A:$F, 6, FALSE)</f>
        <v>Email</v>
      </c>
    </row>
    <row r="539" spans="1:5">
      <c r="A539">
        <v>1543</v>
      </c>
      <c r="B539" s="2">
        <v>45372.8125</v>
      </c>
      <c r="C539" t="str">
        <f>VLOOKUP(A539, user_table!$A:$B, 2, FALSE)</f>
        <v>Male</v>
      </c>
      <c r="D539" t="str">
        <f>VLOOKUP(A539, user_table!$A:$F, 5, FALSE)</f>
        <v>Mobile</v>
      </c>
      <c r="E539" t="str">
        <f>VLOOKUP(A539, user_table!$A:$F, 6, FALSE)</f>
        <v>Organic</v>
      </c>
    </row>
    <row r="540" spans="1:5">
      <c r="A540">
        <v>1023</v>
      </c>
      <c r="B540" s="2">
        <v>45377.489583333336</v>
      </c>
      <c r="C540" t="str">
        <f>VLOOKUP(A540, user_table!$A:$B, 2, FALSE)</f>
        <v>Male</v>
      </c>
      <c r="D540" t="str">
        <f>VLOOKUP(A540, user_table!$A:$F, 5, FALSE)</f>
        <v>Desktop</v>
      </c>
      <c r="E540" t="str">
        <f>VLOOKUP(A540, user_table!$A:$F, 6, FALSE)</f>
        <v>Social</v>
      </c>
    </row>
    <row r="541" spans="1:5">
      <c r="A541">
        <v>1534</v>
      </c>
      <c r="B541" s="2">
        <v>45350.129166666666</v>
      </c>
      <c r="C541" t="str">
        <f>VLOOKUP(A541, user_table!$A:$B, 2, FALSE)</f>
        <v>Female</v>
      </c>
      <c r="D541" t="str">
        <f>VLOOKUP(A541, user_table!$A:$F, 5, FALSE)</f>
        <v>Mobile</v>
      </c>
      <c r="E541" t="str">
        <f>VLOOKUP(A541, user_table!$A:$F, 6, FALSE)</f>
        <v>Organic</v>
      </c>
    </row>
    <row r="542" spans="1:5">
      <c r="A542">
        <v>1938</v>
      </c>
      <c r="B542" s="2">
        <v>45377.291666666664</v>
      </c>
      <c r="C542" t="str">
        <f>VLOOKUP(A542, user_table!$A:$B, 2, FALSE)</f>
        <v>Female</v>
      </c>
      <c r="D542" t="str">
        <f>VLOOKUP(A542, user_table!$A:$F, 5, FALSE)</f>
        <v>Mobile</v>
      </c>
      <c r="E542" t="str">
        <f>VLOOKUP(A542, user_table!$A:$F, 6, FALSE)</f>
        <v>Organic</v>
      </c>
    </row>
    <row r="543" spans="1:5">
      <c r="A543">
        <v>1783</v>
      </c>
      <c r="B543" s="2">
        <v>45336.495138888888</v>
      </c>
      <c r="C543" t="str">
        <f>VLOOKUP(A543, user_table!$A:$B, 2, FALSE)</f>
        <v>Male</v>
      </c>
      <c r="D543" t="str">
        <f>VLOOKUP(A543, user_table!$A:$F, 5, FALSE)</f>
        <v>Tablet</v>
      </c>
      <c r="E543" t="str">
        <f>VLOOKUP(A543, user_table!$A:$F, 6, FALSE)</f>
        <v>Paid</v>
      </c>
    </row>
    <row r="544" spans="1:5">
      <c r="A544">
        <v>1267</v>
      </c>
      <c r="B544" s="2">
        <v>45374.399305555555</v>
      </c>
      <c r="C544" t="str">
        <f>VLOOKUP(A544, user_table!$A:$B, 2, FALSE)</f>
        <v>Female</v>
      </c>
      <c r="D544" t="str">
        <f>VLOOKUP(A544, user_table!$A:$F, 5, FALSE)</f>
        <v>Mobile</v>
      </c>
      <c r="E544" t="str">
        <f>VLOOKUP(A544, user_table!$A:$F, 6, FALSE)</f>
        <v>Social</v>
      </c>
    </row>
    <row r="545" spans="1:5">
      <c r="A545">
        <v>1691</v>
      </c>
      <c r="B545" s="2">
        <v>45359.488888888889</v>
      </c>
      <c r="C545" t="str">
        <f>VLOOKUP(A545, user_table!$A:$B, 2, FALSE)</f>
        <v>Male</v>
      </c>
      <c r="D545" t="str">
        <f>VLOOKUP(A545, user_table!$A:$F, 5, FALSE)</f>
        <v>Tablet</v>
      </c>
      <c r="E545" t="str">
        <f>VLOOKUP(A545, user_table!$A:$F, 6, FALSE)</f>
        <v>Paid</v>
      </c>
    </row>
    <row r="546" spans="1:5">
      <c r="A546">
        <v>1276</v>
      </c>
      <c r="B546" s="2">
        <v>45306.081250000003</v>
      </c>
      <c r="C546" t="str">
        <f>VLOOKUP(A546, user_table!$A:$B, 2, FALSE)</f>
        <v>Male</v>
      </c>
      <c r="D546" t="str">
        <f>VLOOKUP(A546, user_table!$A:$F, 5, FALSE)</f>
        <v>Mobile</v>
      </c>
      <c r="E546" t="str">
        <f>VLOOKUP(A546, user_table!$A:$F, 6, FALSE)</f>
        <v>Organic</v>
      </c>
    </row>
    <row r="547" spans="1:5">
      <c r="A547">
        <v>1569</v>
      </c>
      <c r="B547" s="2">
        <v>45314.630555555559</v>
      </c>
      <c r="C547" t="str">
        <f>VLOOKUP(A547, user_table!$A:$B, 2, FALSE)</f>
        <v>Female</v>
      </c>
      <c r="D547" t="str">
        <f>VLOOKUP(A547, user_table!$A:$F, 5, FALSE)</f>
        <v>Mobile</v>
      </c>
      <c r="E547" t="str">
        <f>VLOOKUP(A547, user_table!$A:$F, 6, FALSE)</f>
        <v>Social</v>
      </c>
    </row>
    <row r="548" spans="1:5">
      <c r="A548">
        <v>1369</v>
      </c>
      <c r="B548" s="2">
        <v>45345.136111111111</v>
      </c>
      <c r="C548" t="str">
        <f>VLOOKUP(A548, user_table!$A:$B, 2, FALSE)</f>
        <v>Male</v>
      </c>
      <c r="D548" t="str">
        <f>VLOOKUP(A548, user_table!$A:$F, 5, FALSE)</f>
        <v>Desktop</v>
      </c>
      <c r="E548" t="str">
        <f>VLOOKUP(A548, user_table!$A:$F, 6, FALSE)</f>
        <v>Social</v>
      </c>
    </row>
    <row r="549" spans="1:5">
      <c r="A549">
        <v>1904</v>
      </c>
      <c r="B549" s="2">
        <v>45371.258333333331</v>
      </c>
      <c r="C549" t="str">
        <f>VLOOKUP(A549, user_table!$A:$B, 2, FALSE)</f>
        <v>Female</v>
      </c>
      <c r="D549" t="str">
        <f>VLOOKUP(A549, user_table!$A:$F, 5, FALSE)</f>
        <v>Mobile</v>
      </c>
      <c r="E549" t="str">
        <f>VLOOKUP(A549, user_table!$A:$F, 6, FALSE)</f>
        <v>Email</v>
      </c>
    </row>
    <row r="550" spans="1:5">
      <c r="A550">
        <v>1378</v>
      </c>
      <c r="B550" s="2">
        <v>45308.509027777778</v>
      </c>
      <c r="C550" t="str">
        <f>VLOOKUP(A550, user_table!$A:$B, 2, FALSE)</f>
        <v>Male</v>
      </c>
      <c r="D550" t="str">
        <f>VLOOKUP(A550, user_table!$A:$F, 5, FALSE)</f>
        <v>Mobile</v>
      </c>
      <c r="E550" t="str">
        <f>VLOOKUP(A550, user_table!$A:$F, 6, FALSE)</f>
        <v>Social</v>
      </c>
    </row>
    <row r="551" spans="1:5">
      <c r="A551">
        <v>1344</v>
      </c>
      <c r="B551" s="2">
        <v>45351.28125</v>
      </c>
      <c r="C551" t="str">
        <f>VLOOKUP(A551, user_table!$A:$B, 2, FALSE)</f>
        <v>Male</v>
      </c>
      <c r="D551" t="str">
        <f>VLOOKUP(A551, user_table!$A:$F, 5, FALSE)</f>
        <v>Mobile</v>
      </c>
      <c r="E551" t="str">
        <f>VLOOKUP(A551, user_table!$A:$F, 6, FALSE)</f>
        <v>Organic</v>
      </c>
    </row>
  </sheetData>
  <phoneticPr fontId="4" type="noConversion"/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81CD-B998-41B8-9C28-5C44AA67CD16}">
  <dimension ref="A1:J122"/>
  <sheetViews>
    <sheetView workbookViewId="0">
      <selection activeCell="J56" sqref="J56"/>
    </sheetView>
  </sheetViews>
  <sheetFormatPr defaultRowHeight="14.5"/>
  <cols>
    <col min="1" max="1" width="9.1796875" bestFit="1" customWidth="1"/>
    <col min="2" max="2" width="15.08984375" bestFit="1" customWidth="1"/>
    <col min="7" max="7" width="14.453125" bestFit="1" customWidth="1"/>
    <col min="8" max="8" width="15.6328125" bestFit="1" customWidth="1"/>
    <col min="9" max="9" width="4.81640625" bestFit="1" customWidth="1"/>
    <col min="10" max="10" width="10.36328125" bestFit="1" customWidth="1"/>
  </cols>
  <sheetData>
    <row r="1" spans="1:10">
      <c r="A1" t="s">
        <v>0</v>
      </c>
      <c r="B1" t="s">
        <v>21</v>
      </c>
      <c r="C1" t="s">
        <v>31</v>
      </c>
      <c r="D1" t="s">
        <v>32</v>
      </c>
      <c r="E1" t="s">
        <v>33</v>
      </c>
    </row>
    <row r="2" spans="1:10">
      <c r="A2">
        <v>1855</v>
      </c>
      <c r="B2" s="2">
        <v>45323.568055555559</v>
      </c>
      <c r="C2" t="str">
        <f>VLOOKUP(A2, user_table!$A:$B, 2, FALSE)</f>
        <v>Male</v>
      </c>
      <c r="D2" t="str">
        <f>VLOOKUP(A2, user_table!$A:$F, 5, FALSE)</f>
        <v>Desktop</v>
      </c>
      <c r="E2" t="str">
        <f>VLOOKUP(A2, user_table!$A:$F, 6, FALSE)</f>
        <v>Paid</v>
      </c>
      <c r="G2" s="7" t="s">
        <v>36</v>
      </c>
      <c r="H2" s="7" t="s">
        <v>37</v>
      </c>
    </row>
    <row r="3" spans="1:10">
      <c r="A3">
        <v>1166</v>
      </c>
      <c r="B3" s="2">
        <v>45313.786111111112</v>
      </c>
      <c r="C3" t="str">
        <f>VLOOKUP(A3, user_table!$A:$B, 2, FALSE)</f>
        <v>Female</v>
      </c>
      <c r="D3" t="str">
        <f>VLOOKUP(A3, user_table!$A:$F, 5, FALSE)</f>
        <v>Desktop</v>
      </c>
      <c r="E3" t="str">
        <f>VLOOKUP(A3, user_table!$A:$F, 6, FALSE)</f>
        <v>Paid</v>
      </c>
      <c r="G3" s="7" t="s">
        <v>34</v>
      </c>
      <c r="H3" t="s">
        <v>10</v>
      </c>
      <c r="I3" t="s">
        <v>6</v>
      </c>
      <c r="J3" t="s">
        <v>35</v>
      </c>
    </row>
    <row r="4" spans="1:10">
      <c r="A4">
        <v>1009</v>
      </c>
      <c r="B4" s="2">
        <v>45318.820833333331</v>
      </c>
      <c r="C4" t="str">
        <f>VLOOKUP(A4, user_table!$A:$B, 2, FALSE)</f>
        <v>Female</v>
      </c>
      <c r="D4" t="str">
        <f>VLOOKUP(A4, user_table!$A:$F, 5, FALSE)</f>
        <v>Mobile</v>
      </c>
      <c r="E4" t="str">
        <f>VLOOKUP(A4, user_table!$A:$F, 6, FALSE)</f>
        <v>Organic</v>
      </c>
      <c r="G4" s="8" t="s">
        <v>8</v>
      </c>
      <c r="H4" s="1">
        <v>32</v>
      </c>
      <c r="I4" s="1">
        <v>31</v>
      </c>
      <c r="J4" s="1">
        <v>63</v>
      </c>
    </row>
    <row r="5" spans="1:10">
      <c r="A5">
        <v>1630</v>
      </c>
      <c r="B5" s="2">
        <v>45360.340277777781</v>
      </c>
      <c r="C5" t="str">
        <f>VLOOKUP(A5, user_table!$A:$B, 2, FALSE)</f>
        <v>Male</v>
      </c>
      <c r="D5" t="str">
        <f>VLOOKUP(A5, user_table!$A:$F, 5, FALSE)</f>
        <v>Tablet</v>
      </c>
      <c r="E5" t="str">
        <f>VLOOKUP(A5, user_table!$A:$F, 6, FALSE)</f>
        <v>Organic</v>
      </c>
      <c r="G5" s="9" t="s">
        <v>20</v>
      </c>
      <c r="H5" s="1">
        <v>3</v>
      </c>
      <c r="I5" s="1"/>
      <c r="J5" s="1">
        <v>3</v>
      </c>
    </row>
    <row r="6" spans="1:10">
      <c r="A6">
        <v>1101</v>
      </c>
      <c r="B6" s="2">
        <v>45382.457638888889</v>
      </c>
      <c r="C6" t="str">
        <f>VLOOKUP(A6, user_table!$A:$B, 2, FALSE)</f>
        <v>Male</v>
      </c>
      <c r="D6" t="str">
        <f>VLOOKUP(A6, user_table!$A:$F, 5, FALSE)</f>
        <v>Mobile</v>
      </c>
      <c r="E6" t="str">
        <f>VLOOKUP(A6, user_table!$A:$F, 6, FALSE)</f>
        <v>Paid</v>
      </c>
      <c r="G6" s="9" t="s">
        <v>17</v>
      </c>
      <c r="H6" s="1">
        <v>5</v>
      </c>
      <c r="I6" s="1">
        <v>2</v>
      </c>
      <c r="J6" s="1">
        <v>7</v>
      </c>
    </row>
    <row r="7" spans="1:10">
      <c r="A7">
        <v>1058</v>
      </c>
      <c r="B7" s="2">
        <v>45353.817361111112</v>
      </c>
      <c r="C7" t="str">
        <f>VLOOKUP(A7, user_table!$A:$B, 2, FALSE)</f>
        <v>Male</v>
      </c>
      <c r="D7" t="str">
        <f>VLOOKUP(A7, user_table!$A:$F, 5, FALSE)</f>
        <v>Desktop</v>
      </c>
      <c r="E7" t="str">
        <f>VLOOKUP(A7, user_table!$A:$F, 6, FALSE)</f>
        <v>Organic</v>
      </c>
      <c r="G7" s="9" t="s">
        <v>9</v>
      </c>
      <c r="H7" s="1">
        <v>11</v>
      </c>
      <c r="I7" s="1">
        <v>11</v>
      </c>
      <c r="J7" s="1">
        <v>22</v>
      </c>
    </row>
    <row r="8" spans="1:10">
      <c r="A8">
        <v>1891</v>
      </c>
      <c r="B8" s="2">
        <v>45303.308333333334</v>
      </c>
      <c r="C8" t="str">
        <f>VLOOKUP(A8, user_table!$A:$B, 2, FALSE)</f>
        <v>Female</v>
      </c>
      <c r="D8" t="str">
        <f>VLOOKUP(A8, user_table!$A:$F, 5, FALSE)</f>
        <v>Mobile</v>
      </c>
      <c r="E8" t="str">
        <f>VLOOKUP(A8, user_table!$A:$F, 6, FALSE)</f>
        <v>Organic</v>
      </c>
      <c r="G8" s="9" t="s">
        <v>15</v>
      </c>
      <c r="H8" s="1">
        <v>8</v>
      </c>
      <c r="I8" s="1">
        <v>6</v>
      </c>
      <c r="J8" s="1">
        <v>14</v>
      </c>
    </row>
    <row r="9" spans="1:10">
      <c r="A9">
        <v>1913</v>
      </c>
      <c r="B9" s="2">
        <v>45344.17083333333</v>
      </c>
      <c r="C9" t="str">
        <f>VLOOKUP(A9, user_table!$A:$B, 2, FALSE)</f>
        <v>Female</v>
      </c>
      <c r="D9" t="str">
        <f>VLOOKUP(A9, user_table!$A:$F, 5, FALSE)</f>
        <v>Tablet</v>
      </c>
      <c r="E9" t="str">
        <f>VLOOKUP(A9, user_table!$A:$F, 6, FALSE)</f>
        <v>Email</v>
      </c>
      <c r="G9" s="9" t="s">
        <v>14</v>
      </c>
      <c r="H9" s="1">
        <v>5</v>
      </c>
      <c r="I9" s="1">
        <v>12</v>
      </c>
      <c r="J9" s="1">
        <v>17</v>
      </c>
    </row>
    <row r="10" spans="1:10">
      <c r="A10">
        <v>1162</v>
      </c>
      <c r="B10" s="2">
        <v>45297.272916666669</v>
      </c>
      <c r="C10" t="str">
        <f>VLOOKUP(A10, user_table!$A:$B, 2, FALSE)</f>
        <v>Female</v>
      </c>
      <c r="D10" t="str">
        <f>VLOOKUP(A10, user_table!$A:$F, 5, FALSE)</f>
        <v>Desktop</v>
      </c>
      <c r="E10" t="str">
        <f>VLOOKUP(A10, user_table!$A:$F, 6, FALSE)</f>
        <v>Paid</v>
      </c>
      <c r="G10" s="8" t="s">
        <v>12</v>
      </c>
      <c r="H10" s="1">
        <v>17</v>
      </c>
      <c r="I10" s="1">
        <v>25</v>
      </c>
      <c r="J10" s="1">
        <v>42</v>
      </c>
    </row>
    <row r="11" spans="1:10">
      <c r="A11">
        <v>1656</v>
      </c>
      <c r="B11" s="2">
        <v>45359.893055555556</v>
      </c>
      <c r="C11" t="str">
        <f>VLOOKUP(A11, user_table!$A:$B, 2, FALSE)</f>
        <v>Male</v>
      </c>
      <c r="D11" t="str">
        <f>VLOOKUP(A11, user_table!$A:$F, 5, FALSE)</f>
        <v>Desktop</v>
      </c>
      <c r="E11" t="str">
        <f>VLOOKUP(A11, user_table!$A:$F, 6, FALSE)</f>
        <v>Organic</v>
      </c>
      <c r="G11" s="9" t="s">
        <v>20</v>
      </c>
      <c r="H11" s="1">
        <v>1</v>
      </c>
      <c r="I11" s="1">
        <v>3</v>
      </c>
      <c r="J11" s="1">
        <v>4</v>
      </c>
    </row>
    <row r="12" spans="1:10">
      <c r="A12">
        <v>1688</v>
      </c>
      <c r="B12" s="2">
        <v>45314.79583333333</v>
      </c>
      <c r="C12" t="str">
        <f>VLOOKUP(A12, user_table!$A:$B, 2, FALSE)</f>
        <v>Male</v>
      </c>
      <c r="D12" t="str">
        <f>VLOOKUP(A12, user_table!$A:$F, 5, FALSE)</f>
        <v>Desktop</v>
      </c>
      <c r="E12" t="str">
        <f>VLOOKUP(A12, user_table!$A:$F, 6, FALSE)</f>
        <v>Social</v>
      </c>
      <c r="G12" s="9" t="s">
        <v>17</v>
      </c>
      <c r="H12" s="1">
        <v>4</v>
      </c>
      <c r="I12" s="1">
        <v>4</v>
      </c>
      <c r="J12" s="1">
        <v>8</v>
      </c>
    </row>
    <row r="13" spans="1:10">
      <c r="A13">
        <v>1395</v>
      </c>
      <c r="B13" s="2">
        <v>45317.664583333331</v>
      </c>
      <c r="C13" t="str">
        <f>VLOOKUP(A13, user_table!$A:$B, 2, FALSE)</f>
        <v>Male</v>
      </c>
      <c r="D13" t="str">
        <f>VLOOKUP(A13, user_table!$A:$F, 5, FALSE)</f>
        <v>Mobile</v>
      </c>
      <c r="E13" t="str">
        <f>VLOOKUP(A13, user_table!$A:$F, 6, FALSE)</f>
        <v>Email</v>
      </c>
      <c r="G13" s="9" t="s">
        <v>9</v>
      </c>
      <c r="H13" s="1">
        <v>6</v>
      </c>
      <c r="I13" s="1">
        <v>6</v>
      </c>
      <c r="J13" s="1">
        <v>12</v>
      </c>
    </row>
    <row r="14" spans="1:10">
      <c r="A14">
        <v>1718</v>
      </c>
      <c r="B14" s="2">
        <v>45373.793055555558</v>
      </c>
      <c r="C14" t="str">
        <f>VLOOKUP(A14, user_table!$A:$B, 2, FALSE)</f>
        <v>Female</v>
      </c>
      <c r="D14" t="str">
        <f>VLOOKUP(A14, user_table!$A:$F, 5, FALSE)</f>
        <v>Mobile</v>
      </c>
      <c r="E14" t="str">
        <f>VLOOKUP(A14, user_table!$A:$F, 6, FALSE)</f>
        <v>Paid</v>
      </c>
      <c r="G14" s="9" t="s">
        <v>15</v>
      </c>
      <c r="H14" s="1">
        <v>3</v>
      </c>
      <c r="I14" s="1">
        <v>4</v>
      </c>
      <c r="J14" s="1">
        <v>7</v>
      </c>
    </row>
    <row r="15" spans="1:10">
      <c r="A15">
        <v>1998</v>
      </c>
      <c r="B15" s="2">
        <v>45363.7</v>
      </c>
      <c r="C15" t="str">
        <f>VLOOKUP(A15, user_table!$A:$B, 2, FALSE)</f>
        <v>Male</v>
      </c>
      <c r="D15" t="str">
        <f>VLOOKUP(A15, user_table!$A:$F, 5, FALSE)</f>
        <v>Tablet</v>
      </c>
      <c r="E15" t="str">
        <f>VLOOKUP(A15, user_table!$A:$F, 6, FALSE)</f>
        <v>Social</v>
      </c>
      <c r="G15" s="9" t="s">
        <v>14</v>
      </c>
      <c r="H15" s="1">
        <v>3</v>
      </c>
      <c r="I15" s="1">
        <v>8</v>
      </c>
      <c r="J15" s="1">
        <v>11</v>
      </c>
    </row>
    <row r="16" spans="1:10">
      <c r="A16">
        <v>1779</v>
      </c>
      <c r="B16" s="2">
        <v>45310.104166666664</v>
      </c>
      <c r="C16" t="str">
        <f>VLOOKUP(A16, user_table!$A:$B, 2, FALSE)</f>
        <v>Female</v>
      </c>
      <c r="D16" t="str">
        <f>VLOOKUP(A16, user_table!$A:$F, 5, FALSE)</f>
        <v>Desktop</v>
      </c>
      <c r="E16" t="str">
        <f>VLOOKUP(A16, user_table!$A:$F, 6, FALSE)</f>
        <v>Email</v>
      </c>
      <c r="G16" s="8" t="s">
        <v>19</v>
      </c>
      <c r="H16" s="1">
        <v>9</v>
      </c>
      <c r="I16" s="1">
        <v>7</v>
      </c>
      <c r="J16" s="1">
        <v>16</v>
      </c>
    </row>
    <row r="17" spans="1:10">
      <c r="A17">
        <v>1797</v>
      </c>
      <c r="B17" s="2">
        <v>45379.206250000003</v>
      </c>
      <c r="C17" t="str">
        <f>VLOOKUP(A17, user_table!$A:$B, 2, FALSE)</f>
        <v>Female</v>
      </c>
      <c r="D17" t="str">
        <f>VLOOKUP(A17, user_table!$A:$F, 5, FALSE)</f>
        <v>Mobile</v>
      </c>
      <c r="E17" t="str">
        <f>VLOOKUP(A17, user_table!$A:$F, 6, FALSE)</f>
        <v>Paid</v>
      </c>
      <c r="G17" s="9" t="s">
        <v>20</v>
      </c>
      <c r="H17" s="1">
        <v>1</v>
      </c>
      <c r="I17" s="1"/>
      <c r="J17" s="1">
        <v>1</v>
      </c>
    </row>
    <row r="18" spans="1:10">
      <c r="A18">
        <v>1256</v>
      </c>
      <c r="B18" s="2">
        <v>45372.744444444441</v>
      </c>
      <c r="C18" t="str">
        <f>VLOOKUP(A18, user_table!$A:$B, 2, FALSE)</f>
        <v>Female</v>
      </c>
      <c r="D18" t="str">
        <f>VLOOKUP(A18, user_table!$A:$F, 5, FALSE)</f>
        <v>Mobile</v>
      </c>
      <c r="E18" t="str">
        <f>VLOOKUP(A18, user_table!$A:$F, 6, FALSE)</f>
        <v>Paid</v>
      </c>
      <c r="G18" s="9" t="s">
        <v>17</v>
      </c>
      <c r="H18" s="1">
        <v>1</v>
      </c>
      <c r="I18" s="1"/>
      <c r="J18" s="1">
        <v>1</v>
      </c>
    </row>
    <row r="19" spans="1:10">
      <c r="A19">
        <v>1568</v>
      </c>
      <c r="B19" s="2">
        <v>45295.90347222222</v>
      </c>
      <c r="C19" t="str">
        <f>VLOOKUP(A19, user_table!$A:$B, 2, FALSE)</f>
        <v>Male</v>
      </c>
      <c r="D19" t="str">
        <f>VLOOKUP(A19, user_table!$A:$F, 5, FALSE)</f>
        <v>Desktop</v>
      </c>
      <c r="E19" t="str">
        <f>VLOOKUP(A19, user_table!$A:$F, 6, FALSE)</f>
        <v>Organic</v>
      </c>
      <c r="G19" s="9" t="s">
        <v>9</v>
      </c>
      <c r="H19" s="1">
        <v>5</v>
      </c>
      <c r="I19" s="1">
        <v>4</v>
      </c>
      <c r="J19" s="1">
        <v>9</v>
      </c>
    </row>
    <row r="20" spans="1:10">
      <c r="A20">
        <v>1066</v>
      </c>
      <c r="B20" s="2">
        <v>45350.68472222222</v>
      </c>
      <c r="C20" t="str">
        <f>VLOOKUP(A20, user_table!$A:$B, 2, FALSE)</f>
        <v>Female</v>
      </c>
      <c r="D20" t="str">
        <f>VLOOKUP(A20, user_table!$A:$F, 5, FALSE)</f>
        <v>Desktop</v>
      </c>
      <c r="E20" t="str">
        <f>VLOOKUP(A20, user_table!$A:$F, 6, FALSE)</f>
        <v>Organic</v>
      </c>
      <c r="G20" s="9" t="s">
        <v>15</v>
      </c>
      <c r="H20" s="1"/>
      <c r="I20" s="1">
        <v>1</v>
      </c>
      <c r="J20" s="1">
        <v>1</v>
      </c>
    </row>
    <row r="21" spans="1:10">
      <c r="A21">
        <v>1716</v>
      </c>
      <c r="B21" s="2">
        <v>45342.072222222225</v>
      </c>
      <c r="C21" t="str">
        <f>VLOOKUP(A21, user_table!$A:$B, 2, FALSE)</f>
        <v>Female</v>
      </c>
      <c r="D21" t="str">
        <f>VLOOKUP(A21, user_table!$A:$F, 5, FALSE)</f>
        <v>Desktop</v>
      </c>
      <c r="E21" t="str">
        <f>VLOOKUP(A21, user_table!$A:$F, 6, FALSE)</f>
        <v>Email</v>
      </c>
      <c r="G21" s="9" t="s">
        <v>14</v>
      </c>
      <c r="H21" s="1">
        <v>2</v>
      </c>
      <c r="I21" s="1">
        <v>2</v>
      </c>
      <c r="J21" s="1">
        <v>4</v>
      </c>
    </row>
    <row r="22" spans="1:10">
      <c r="A22">
        <v>1332</v>
      </c>
      <c r="B22" s="2">
        <v>45362.551388888889</v>
      </c>
      <c r="C22" t="str">
        <f>VLOOKUP(A22, user_table!$A:$B, 2, FALSE)</f>
        <v>Female</v>
      </c>
      <c r="D22" t="str">
        <f>VLOOKUP(A22, user_table!$A:$F, 5, FALSE)</f>
        <v>Desktop</v>
      </c>
      <c r="E22" t="str">
        <f>VLOOKUP(A22, user_table!$A:$F, 6, FALSE)</f>
        <v>Organic</v>
      </c>
      <c r="G22" s="8" t="s">
        <v>35</v>
      </c>
      <c r="H22" s="1">
        <v>58</v>
      </c>
      <c r="I22" s="1">
        <v>63</v>
      </c>
      <c r="J22" s="1">
        <v>121</v>
      </c>
    </row>
    <row r="23" spans="1:10">
      <c r="A23">
        <v>1690</v>
      </c>
      <c r="B23" s="2">
        <v>45356.515277777777</v>
      </c>
      <c r="C23" t="str">
        <f>VLOOKUP(A23, user_table!$A:$B, 2, FALSE)</f>
        <v>Male</v>
      </c>
      <c r="D23" t="str">
        <f>VLOOKUP(A23, user_table!$A:$F, 5, FALSE)</f>
        <v>Desktop</v>
      </c>
      <c r="E23" t="str">
        <f>VLOOKUP(A23, user_table!$A:$F, 6, FALSE)</f>
        <v>Social</v>
      </c>
    </row>
    <row r="24" spans="1:10">
      <c r="A24">
        <v>1592</v>
      </c>
      <c r="B24" s="2">
        <v>45370.998611111114</v>
      </c>
      <c r="C24" t="str">
        <f>VLOOKUP(A24, user_table!$A:$B, 2, FALSE)</f>
        <v>Female</v>
      </c>
      <c r="D24" t="str">
        <f>VLOOKUP(A24, user_table!$A:$F, 5, FALSE)</f>
        <v>Desktop</v>
      </c>
      <c r="E24" t="str">
        <f>VLOOKUP(A24, user_table!$A:$F, 6, FALSE)</f>
        <v>Paid</v>
      </c>
    </row>
    <row r="25" spans="1:10">
      <c r="A25">
        <v>1905</v>
      </c>
      <c r="B25" s="2">
        <v>45384.754166666666</v>
      </c>
      <c r="C25" t="str">
        <f>VLOOKUP(A25, user_table!$A:$B, 2, FALSE)</f>
        <v>Male</v>
      </c>
      <c r="D25" t="str">
        <f>VLOOKUP(A25, user_table!$A:$F, 5, FALSE)</f>
        <v>Mobile</v>
      </c>
      <c r="E25" t="str">
        <f>VLOOKUP(A25, user_table!$A:$F, 6, FALSE)</f>
        <v>Organic</v>
      </c>
    </row>
    <row r="26" spans="1:10">
      <c r="A26">
        <v>1285</v>
      </c>
      <c r="B26" s="2">
        <v>45349.177777777775</v>
      </c>
      <c r="C26" t="str">
        <f>VLOOKUP(A26, user_table!$A:$B, 2, FALSE)</f>
        <v>Female</v>
      </c>
      <c r="D26" t="str">
        <f>VLOOKUP(A26, user_table!$A:$F, 5, FALSE)</f>
        <v>Mobile</v>
      </c>
      <c r="E26" t="str">
        <f>VLOOKUP(A26, user_table!$A:$F, 6, FALSE)</f>
        <v>Social</v>
      </c>
    </row>
    <row r="27" spans="1:10">
      <c r="A27">
        <v>1585</v>
      </c>
      <c r="B27" s="2">
        <v>45356.331944444442</v>
      </c>
      <c r="C27" t="str">
        <f>VLOOKUP(A27, user_table!$A:$B, 2, FALSE)</f>
        <v>Female</v>
      </c>
      <c r="D27" t="str">
        <f>VLOOKUP(A27, user_table!$A:$F, 5, FALSE)</f>
        <v>Mobile</v>
      </c>
      <c r="E27" t="str">
        <f>VLOOKUP(A27, user_table!$A:$F, 6, FALSE)</f>
        <v>Organic</v>
      </c>
    </row>
    <row r="28" spans="1:10">
      <c r="A28">
        <v>1082</v>
      </c>
      <c r="B28" s="2">
        <v>45305.401388888888</v>
      </c>
      <c r="C28" t="str">
        <f>VLOOKUP(A28, user_table!$A:$B, 2, FALSE)</f>
        <v>Female</v>
      </c>
      <c r="D28" t="str">
        <f>VLOOKUP(A28, user_table!$A:$F, 5, FALSE)</f>
        <v>Desktop</v>
      </c>
      <c r="E28" t="str">
        <f>VLOOKUP(A28, user_table!$A:$F, 6, FALSE)</f>
        <v>Organic</v>
      </c>
    </row>
    <row r="29" spans="1:10">
      <c r="A29">
        <v>1498</v>
      </c>
      <c r="B29" s="2">
        <v>45364.552777777775</v>
      </c>
      <c r="C29" t="str">
        <f>VLOOKUP(A29, user_table!$A:$B, 2, FALSE)</f>
        <v>Male</v>
      </c>
      <c r="D29" t="str">
        <f>VLOOKUP(A29, user_table!$A:$F, 5, FALSE)</f>
        <v>Desktop</v>
      </c>
      <c r="E29" t="str">
        <f>VLOOKUP(A29, user_table!$A:$F, 6, FALSE)</f>
        <v>Social</v>
      </c>
    </row>
    <row r="30" spans="1:10">
      <c r="A30">
        <v>1971</v>
      </c>
      <c r="B30" s="2">
        <v>45319.03125</v>
      </c>
      <c r="C30" t="str">
        <f>VLOOKUP(A30, user_table!$A:$B, 2, FALSE)</f>
        <v>Female</v>
      </c>
      <c r="D30" t="str">
        <f>VLOOKUP(A30, user_table!$A:$F, 5, FALSE)</f>
        <v>Desktop</v>
      </c>
      <c r="E30" t="str">
        <f>VLOOKUP(A30, user_table!$A:$F, 6, FALSE)</f>
        <v>Email</v>
      </c>
    </row>
    <row r="31" spans="1:10">
      <c r="A31">
        <v>1408</v>
      </c>
      <c r="B31" s="2">
        <v>45295.772916666669</v>
      </c>
      <c r="C31" t="str">
        <f>VLOOKUP(A31, user_table!$A:$B, 2, FALSE)</f>
        <v>Male</v>
      </c>
      <c r="D31" t="str">
        <f>VLOOKUP(A31, user_table!$A:$F, 5, FALSE)</f>
        <v>Mobile</v>
      </c>
      <c r="E31" t="str">
        <f>VLOOKUP(A31, user_table!$A:$F, 6, FALSE)</f>
        <v>Email</v>
      </c>
    </row>
    <row r="32" spans="1:10">
      <c r="A32">
        <v>1422</v>
      </c>
      <c r="B32" s="2">
        <v>45310.666666666664</v>
      </c>
      <c r="C32" t="str">
        <f>VLOOKUP(A32, user_table!$A:$B, 2, FALSE)</f>
        <v>Female</v>
      </c>
      <c r="D32" t="str">
        <f>VLOOKUP(A32, user_table!$A:$F, 5, FALSE)</f>
        <v>Mobile</v>
      </c>
      <c r="E32" t="str">
        <f>VLOOKUP(A32, user_table!$A:$F, 6, FALSE)</f>
        <v>Social</v>
      </c>
    </row>
    <row r="33" spans="1:5">
      <c r="A33">
        <v>1621</v>
      </c>
      <c r="B33" s="2">
        <v>45343.842361111114</v>
      </c>
      <c r="C33" t="str">
        <f>VLOOKUP(A33, user_table!$A:$B, 2, FALSE)</f>
        <v>Male</v>
      </c>
      <c r="D33" t="str">
        <f>VLOOKUP(A33, user_table!$A:$F, 5, FALSE)</f>
        <v>Tablet</v>
      </c>
      <c r="E33" t="str">
        <f>VLOOKUP(A33, user_table!$A:$F, 6, FALSE)</f>
        <v>Organic</v>
      </c>
    </row>
    <row r="34" spans="1:5">
      <c r="A34">
        <v>1983</v>
      </c>
      <c r="B34" s="2">
        <v>45383.43472222222</v>
      </c>
      <c r="C34" t="str">
        <f>VLOOKUP(A34, user_table!$A:$B, 2, FALSE)</f>
        <v>Male</v>
      </c>
      <c r="D34" t="str">
        <f>VLOOKUP(A34, user_table!$A:$F, 5, FALSE)</f>
        <v>Mobile</v>
      </c>
      <c r="E34" t="str">
        <f>VLOOKUP(A34, user_table!$A:$F, 6, FALSE)</f>
        <v>Social</v>
      </c>
    </row>
    <row r="35" spans="1:5">
      <c r="A35">
        <v>1056</v>
      </c>
      <c r="B35" s="2">
        <v>45341.131249999999</v>
      </c>
      <c r="C35" t="str">
        <f>VLOOKUP(A35, user_table!$A:$B, 2, FALSE)</f>
        <v>Female</v>
      </c>
      <c r="D35" t="str">
        <f>VLOOKUP(A35, user_table!$A:$F, 5, FALSE)</f>
        <v>Tablet</v>
      </c>
      <c r="E35" t="str">
        <f>VLOOKUP(A35, user_table!$A:$F, 6, FALSE)</f>
        <v>Organic</v>
      </c>
    </row>
    <row r="36" spans="1:5">
      <c r="A36">
        <v>1487</v>
      </c>
      <c r="B36" s="2">
        <v>45349.859027777777</v>
      </c>
      <c r="C36" t="str">
        <f>VLOOKUP(A36, user_table!$A:$B, 2, FALSE)</f>
        <v>Male</v>
      </c>
      <c r="D36" t="str">
        <f>VLOOKUP(A36, user_table!$A:$F, 5, FALSE)</f>
        <v>Mobile</v>
      </c>
      <c r="E36" t="str">
        <f>VLOOKUP(A36, user_table!$A:$F, 6, FALSE)</f>
        <v>Social</v>
      </c>
    </row>
    <row r="37" spans="1:5">
      <c r="A37">
        <v>1593</v>
      </c>
      <c r="B37" s="2">
        <v>45327.370833333334</v>
      </c>
      <c r="C37" t="str">
        <f>VLOOKUP(A37, user_table!$A:$B, 2, FALSE)</f>
        <v>Male</v>
      </c>
      <c r="D37" t="str">
        <f>VLOOKUP(A37, user_table!$A:$F, 5, FALSE)</f>
        <v>Desktop</v>
      </c>
      <c r="E37" t="str">
        <f>VLOOKUP(A37, user_table!$A:$F, 6, FALSE)</f>
        <v>Organic</v>
      </c>
    </row>
    <row r="38" spans="1:5">
      <c r="A38">
        <v>1871</v>
      </c>
      <c r="B38" s="2">
        <v>45363.566666666666</v>
      </c>
      <c r="C38" t="str">
        <f>VLOOKUP(A38, user_table!$A:$B, 2, FALSE)</f>
        <v>Male</v>
      </c>
      <c r="D38" t="str">
        <f>VLOOKUP(A38, user_table!$A:$F, 5, FALSE)</f>
        <v>Desktop</v>
      </c>
      <c r="E38" t="str">
        <f>VLOOKUP(A38, user_table!$A:$F, 6, FALSE)</f>
        <v>Organic</v>
      </c>
    </row>
    <row r="39" spans="1:5">
      <c r="A39">
        <v>1463</v>
      </c>
      <c r="B39" s="2">
        <v>45341.803472222222</v>
      </c>
      <c r="C39" t="str">
        <f>VLOOKUP(A39, user_table!$A:$B, 2, FALSE)</f>
        <v>Female</v>
      </c>
      <c r="D39" t="str">
        <f>VLOOKUP(A39, user_table!$A:$F, 5, FALSE)</f>
        <v>Mobile</v>
      </c>
      <c r="E39" t="str">
        <f>VLOOKUP(A39, user_table!$A:$F, 6, FALSE)</f>
        <v>Email</v>
      </c>
    </row>
    <row r="40" spans="1:5">
      <c r="A40">
        <v>1135</v>
      </c>
      <c r="B40" s="2">
        <v>45382.533333333333</v>
      </c>
      <c r="C40" t="str">
        <f>VLOOKUP(A40, user_table!$A:$B, 2, FALSE)</f>
        <v>Female</v>
      </c>
      <c r="D40" t="str">
        <f>VLOOKUP(A40, user_table!$A:$F, 5, FALSE)</f>
        <v>Desktop</v>
      </c>
      <c r="E40" t="str">
        <f>VLOOKUP(A40, user_table!$A:$F, 6, FALSE)</f>
        <v>Paid</v>
      </c>
    </row>
    <row r="41" spans="1:5">
      <c r="A41">
        <v>1063</v>
      </c>
      <c r="B41" s="2">
        <v>45321.565972222219</v>
      </c>
      <c r="C41" t="str">
        <f>VLOOKUP(A41, user_table!$A:$B, 2, FALSE)</f>
        <v>Female</v>
      </c>
      <c r="D41" t="str">
        <f>VLOOKUP(A41, user_table!$A:$F, 5, FALSE)</f>
        <v>Desktop</v>
      </c>
      <c r="E41" t="str">
        <f>VLOOKUP(A41, user_table!$A:$F, 6, FALSE)</f>
        <v>Paid</v>
      </c>
    </row>
    <row r="42" spans="1:5">
      <c r="A42">
        <v>1177</v>
      </c>
      <c r="B42" s="2">
        <v>45366.632638888892</v>
      </c>
      <c r="C42" t="str">
        <f>VLOOKUP(A42, user_table!$A:$B, 2, FALSE)</f>
        <v>Female</v>
      </c>
      <c r="D42" t="str">
        <f>VLOOKUP(A42, user_table!$A:$F, 5, FALSE)</f>
        <v>Mobile</v>
      </c>
      <c r="E42" t="str">
        <f>VLOOKUP(A42, user_table!$A:$F, 6, FALSE)</f>
        <v>Direct</v>
      </c>
    </row>
    <row r="43" spans="1:5">
      <c r="A43">
        <v>1289</v>
      </c>
      <c r="B43" s="2">
        <v>45342.732638888891</v>
      </c>
      <c r="C43" t="str">
        <f>VLOOKUP(A43, user_table!$A:$B, 2, FALSE)</f>
        <v>Male</v>
      </c>
      <c r="D43" t="str">
        <f>VLOOKUP(A43, user_table!$A:$F, 5, FALSE)</f>
        <v>Mobile</v>
      </c>
      <c r="E43" t="str">
        <f>VLOOKUP(A43, user_table!$A:$F, 6, FALSE)</f>
        <v>Organic</v>
      </c>
    </row>
    <row r="44" spans="1:5">
      <c r="A44">
        <v>1434</v>
      </c>
      <c r="B44" s="2">
        <v>45356.34652777778</v>
      </c>
      <c r="C44" t="str">
        <f>VLOOKUP(A44, user_table!$A:$B, 2, FALSE)</f>
        <v>Male</v>
      </c>
      <c r="D44" t="str">
        <f>VLOOKUP(A44, user_table!$A:$F, 5, FALSE)</f>
        <v>Mobile</v>
      </c>
      <c r="E44" t="str">
        <f>VLOOKUP(A44, user_table!$A:$F, 6, FALSE)</f>
        <v>Paid</v>
      </c>
    </row>
    <row r="45" spans="1:5">
      <c r="A45">
        <v>1109</v>
      </c>
      <c r="B45" s="2">
        <v>45368.492361111108</v>
      </c>
      <c r="C45" t="str">
        <f>VLOOKUP(A45, user_table!$A:$B, 2, FALSE)</f>
        <v>Male</v>
      </c>
      <c r="D45" t="str">
        <f>VLOOKUP(A45, user_table!$A:$F, 5, FALSE)</f>
        <v>Desktop</v>
      </c>
      <c r="E45" t="str">
        <f>VLOOKUP(A45, user_table!$A:$F, 6, FALSE)</f>
        <v>Paid</v>
      </c>
    </row>
    <row r="46" spans="1:5">
      <c r="A46">
        <v>1554</v>
      </c>
      <c r="B46" s="2">
        <v>45345.963888888888</v>
      </c>
      <c r="C46" t="str">
        <f>VLOOKUP(A46, user_table!$A:$B, 2, FALSE)</f>
        <v>Female</v>
      </c>
      <c r="D46" t="str">
        <f>VLOOKUP(A46, user_table!$A:$F, 5, FALSE)</f>
        <v>Desktop</v>
      </c>
      <c r="E46" t="str">
        <f>VLOOKUP(A46, user_table!$A:$F, 6, FALSE)</f>
        <v>Email</v>
      </c>
    </row>
    <row r="47" spans="1:5">
      <c r="A47">
        <v>1955</v>
      </c>
      <c r="B47" s="2">
        <v>45379.157638888886</v>
      </c>
      <c r="C47" t="str">
        <f>VLOOKUP(A47, user_table!$A:$B, 2, FALSE)</f>
        <v>Male</v>
      </c>
      <c r="D47" t="str">
        <f>VLOOKUP(A47, user_table!$A:$F, 5, FALSE)</f>
        <v>Mobile</v>
      </c>
      <c r="E47" t="str">
        <f>VLOOKUP(A47, user_table!$A:$F, 6, FALSE)</f>
        <v>Email</v>
      </c>
    </row>
    <row r="48" spans="1:5">
      <c r="A48">
        <v>1813</v>
      </c>
      <c r="B48" s="2">
        <v>45324.618055555555</v>
      </c>
      <c r="C48" t="str">
        <f>VLOOKUP(A48, user_table!$A:$B, 2, FALSE)</f>
        <v>Male</v>
      </c>
      <c r="D48" t="str">
        <f>VLOOKUP(A48, user_table!$A:$F, 5, FALSE)</f>
        <v>Mobile</v>
      </c>
      <c r="E48" t="str">
        <f>VLOOKUP(A48, user_table!$A:$F, 6, FALSE)</f>
        <v>Social</v>
      </c>
    </row>
    <row r="49" spans="1:5">
      <c r="A49">
        <v>1614</v>
      </c>
      <c r="B49" s="2">
        <v>45384.212500000001</v>
      </c>
      <c r="C49" t="str">
        <f>VLOOKUP(A49, user_table!$A:$B, 2, FALSE)</f>
        <v>Male</v>
      </c>
      <c r="D49" t="str">
        <f>VLOOKUP(A49, user_table!$A:$F, 5, FALSE)</f>
        <v>Mobile</v>
      </c>
      <c r="E49" t="str">
        <f>VLOOKUP(A49, user_table!$A:$F, 6, FALSE)</f>
        <v>Social</v>
      </c>
    </row>
    <row r="50" spans="1:5">
      <c r="A50">
        <v>1547</v>
      </c>
      <c r="B50" s="2">
        <v>45322.684027777781</v>
      </c>
      <c r="C50" t="str">
        <f>VLOOKUP(A50, user_table!$A:$B, 2, FALSE)</f>
        <v>Male</v>
      </c>
      <c r="D50" t="str">
        <f>VLOOKUP(A50, user_table!$A:$F, 5, FALSE)</f>
        <v>Desktop</v>
      </c>
      <c r="E50" t="str">
        <f>VLOOKUP(A50, user_table!$A:$F, 6, FALSE)</f>
        <v>Organic</v>
      </c>
    </row>
    <row r="51" spans="1:5">
      <c r="A51">
        <v>1567</v>
      </c>
      <c r="B51" s="2">
        <v>45338.73541666667</v>
      </c>
      <c r="C51" t="str">
        <f>VLOOKUP(A51, user_table!$A:$B, 2, FALSE)</f>
        <v>Male</v>
      </c>
      <c r="D51" t="str">
        <f>VLOOKUP(A51, user_table!$A:$F, 5, FALSE)</f>
        <v>Desktop</v>
      </c>
      <c r="E51" t="str">
        <f>VLOOKUP(A51, user_table!$A:$F, 6, FALSE)</f>
        <v>Paid</v>
      </c>
    </row>
    <row r="52" spans="1:5">
      <c r="A52">
        <v>1301</v>
      </c>
      <c r="B52" s="2">
        <v>45384.90625</v>
      </c>
      <c r="C52" t="str">
        <f>VLOOKUP(A52, user_table!$A:$B, 2, FALSE)</f>
        <v>Male</v>
      </c>
      <c r="D52" t="str">
        <f>VLOOKUP(A52, user_table!$A:$F, 5, FALSE)</f>
        <v>Desktop</v>
      </c>
      <c r="E52" t="str">
        <f>VLOOKUP(A52, user_table!$A:$F, 6, FALSE)</f>
        <v>Organic</v>
      </c>
    </row>
    <row r="53" spans="1:5">
      <c r="A53">
        <v>1225</v>
      </c>
      <c r="B53" s="2">
        <v>45301.224999999999</v>
      </c>
      <c r="C53" t="str">
        <f>VLOOKUP(A53, user_table!$A:$B, 2, FALSE)</f>
        <v>Male</v>
      </c>
      <c r="D53" t="str">
        <f>VLOOKUP(A53, user_table!$A:$F, 5, FALSE)</f>
        <v>Mobile</v>
      </c>
      <c r="E53" t="str">
        <f>VLOOKUP(A53, user_table!$A:$F, 6, FALSE)</f>
        <v>Direct</v>
      </c>
    </row>
    <row r="54" spans="1:5">
      <c r="A54">
        <v>1496</v>
      </c>
      <c r="B54" s="2">
        <v>45376.035416666666</v>
      </c>
      <c r="C54" t="str">
        <f>VLOOKUP(A54, user_table!$A:$B, 2, FALSE)</f>
        <v>Male</v>
      </c>
      <c r="D54" t="str">
        <f>VLOOKUP(A54, user_table!$A:$F, 5, FALSE)</f>
        <v>Desktop</v>
      </c>
      <c r="E54" t="str">
        <f>VLOOKUP(A54, user_table!$A:$F, 6, FALSE)</f>
        <v>Email</v>
      </c>
    </row>
    <row r="55" spans="1:5">
      <c r="A55">
        <v>1132</v>
      </c>
      <c r="B55" s="2">
        <v>45306.1875</v>
      </c>
      <c r="C55" t="str">
        <f>VLOOKUP(A55, user_table!$A:$B, 2, FALSE)</f>
        <v>Male</v>
      </c>
      <c r="D55" t="str">
        <f>VLOOKUP(A55, user_table!$A:$F, 5, FALSE)</f>
        <v>Desktop</v>
      </c>
      <c r="E55" t="str">
        <f>VLOOKUP(A55, user_table!$A:$F, 6, FALSE)</f>
        <v>Social</v>
      </c>
    </row>
    <row r="56" spans="1:5">
      <c r="A56">
        <v>1210</v>
      </c>
      <c r="B56" s="2">
        <v>45371.545138888891</v>
      </c>
      <c r="C56" t="str">
        <f>VLOOKUP(A56, user_table!$A:$B, 2, FALSE)</f>
        <v>Male</v>
      </c>
      <c r="D56" t="str">
        <f>VLOOKUP(A56, user_table!$A:$F, 5, FALSE)</f>
        <v>Tablet</v>
      </c>
      <c r="E56" t="str">
        <f>VLOOKUP(A56, user_table!$A:$F, 6, FALSE)</f>
        <v>Organic</v>
      </c>
    </row>
    <row r="57" spans="1:5">
      <c r="A57">
        <v>1512</v>
      </c>
      <c r="B57" s="2">
        <v>45303.343055555553</v>
      </c>
      <c r="C57" t="str">
        <f>VLOOKUP(A57, user_table!$A:$B, 2, FALSE)</f>
        <v>Male</v>
      </c>
      <c r="D57" t="str">
        <f>VLOOKUP(A57, user_table!$A:$F, 5, FALSE)</f>
        <v>Desktop</v>
      </c>
      <c r="E57" t="str">
        <f>VLOOKUP(A57, user_table!$A:$F, 6, FALSE)</f>
        <v>Paid</v>
      </c>
    </row>
    <row r="58" spans="1:5">
      <c r="A58">
        <v>1637</v>
      </c>
      <c r="B58" s="2">
        <v>45342.109722222223</v>
      </c>
      <c r="C58" t="str">
        <f>VLOOKUP(A58, user_table!$A:$B, 2, FALSE)</f>
        <v>Female</v>
      </c>
      <c r="D58" t="str">
        <f>VLOOKUP(A58, user_table!$A:$F, 5, FALSE)</f>
        <v>Desktop</v>
      </c>
      <c r="E58" t="str">
        <f>VLOOKUP(A58, user_table!$A:$F, 6, FALSE)</f>
        <v>Paid</v>
      </c>
    </row>
    <row r="59" spans="1:5">
      <c r="A59">
        <v>1634</v>
      </c>
      <c r="B59" s="2">
        <v>45299.974999999999</v>
      </c>
      <c r="C59" t="str">
        <f>VLOOKUP(A59, user_table!$A:$B, 2, FALSE)</f>
        <v>Female</v>
      </c>
      <c r="D59" t="str">
        <f>VLOOKUP(A59, user_table!$A:$F, 5, FALSE)</f>
        <v>Desktop</v>
      </c>
      <c r="E59" t="str">
        <f>VLOOKUP(A59, user_table!$A:$F, 6, FALSE)</f>
        <v>Organic</v>
      </c>
    </row>
    <row r="60" spans="1:5">
      <c r="A60">
        <v>1041</v>
      </c>
      <c r="B60" s="2">
        <v>45346.820138888892</v>
      </c>
      <c r="C60" t="str">
        <f>VLOOKUP(A60, user_table!$A:$B, 2, FALSE)</f>
        <v>Male</v>
      </c>
      <c r="D60" t="str">
        <f>VLOOKUP(A60, user_table!$A:$F, 5, FALSE)</f>
        <v>Desktop</v>
      </c>
      <c r="E60" t="str">
        <f>VLOOKUP(A60, user_table!$A:$F, 6, FALSE)</f>
        <v>Paid</v>
      </c>
    </row>
    <row r="61" spans="1:5">
      <c r="A61">
        <v>1778</v>
      </c>
      <c r="B61" s="2">
        <v>45361.40625</v>
      </c>
      <c r="C61" t="str">
        <f>VLOOKUP(A61, user_table!$A:$B, 2, FALSE)</f>
        <v>Female</v>
      </c>
      <c r="D61" t="str">
        <f>VLOOKUP(A61, user_table!$A:$F, 5, FALSE)</f>
        <v>Tablet</v>
      </c>
      <c r="E61" t="str">
        <f>VLOOKUP(A61, user_table!$A:$F, 6, FALSE)</f>
        <v>Organic</v>
      </c>
    </row>
    <row r="62" spans="1:5">
      <c r="A62">
        <v>1344</v>
      </c>
      <c r="B62" s="2">
        <v>45371.075694444444</v>
      </c>
      <c r="C62" t="str">
        <f>VLOOKUP(A62, user_table!$A:$B, 2, FALSE)</f>
        <v>Male</v>
      </c>
      <c r="D62" t="str">
        <f>VLOOKUP(A62, user_table!$A:$F, 5, FALSE)</f>
        <v>Mobile</v>
      </c>
      <c r="E62" t="str">
        <f>VLOOKUP(A62, user_table!$A:$F, 6, FALSE)</f>
        <v>Organic</v>
      </c>
    </row>
    <row r="63" spans="1:5">
      <c r="A63">
        <v>1088</v>
      </c>
      <c r="B63" s="2">
        <v>45317.854861111111</v>
      </c>
      <c r="C63" t="str">
        <f>VLOOKUP(A63, user_table!$A:$B, 2, FALSE)</f>
        <v>Female</v>
      </c>
      <c r="D63" t="str">
        <f>VLOOKUP(A63, user_table!$A:$F, 5, FALSE)</f>
        <v>Mobile</v>
      </c>
      <c r="E63" t="str">
        <f>VLOOKUP(A63, user_table!$A:$F, 6, FALSE)</f>
        <v>Email</v>
      </c>
    </row>
    <row r="64" spans="1:5">
      <c r="A64">
        <v>1073</v>
      </c>
      <c r="B64" s="2">
        <v>45351.008333333331</v>
      </c>
      <c r="C64" t="str">
        <f>VLOOKUP(A64, user_table!$A:$B, 2, FALSE)</f>
        <v>Male</v>
      </c>
      <c r="D64" t="str">
        <f>VLOOKUP(A64, user_table!$A:$F, 5, FALSE)</f>
        <v>Tablet</v>
      </c>
      <c r="E64" t="str">
        <f>VLOOKUP(A64, user_table!$A:$F, 6, FALSE)</f>
        <v>Organic</v>
      </c>
    </row>
    <row r="65" spans="1:5">
      <c r="A65">
        <v>1860</v>
      </c>
      <c r="B65" s="2">
        <v>45379.679166666669</v>
      </c>
      <c r="C65" t="str">
        <f>VLOOKUP(A65, user_table!$A:$B, 2, FALSE)</f>
        <v>Male</v>
      </c>
      <c r="D65" t="str">
        <f>VLOOKUP(A65, user_table!$A:$F, 5, FALSE)</f>
        <v>Desktop</v>
      </c>
      <c r="E65" t="str">
        <f>VLOOKUP(A65, user_table!$A:$F, 6, FALSE)</f>
        <v>Social</v>
      </c>
    </row>
    <row r="66" spans="1:5">
      <c r="A66">
        <v>1352</v>
      </c>
      <c r="B66" s="2">
        <v>45319.076388888891</v>
      </c>
      <c r="C66" t="str">
        <f>VLOOKUP(A66, user_table!$A:$B, 2, FALSE)</f>
        <v>Female</v>
      </c>
      <c r="D66" t="str">
        <f>VLOOKUP(A66, user_table!$A:$F, 5, FALSE)</f>
        <v>Desktop</v>
      </c>
      <c r="E66" t="str">
        <f>VLOOKUP(A66, user_table!$A:$F, 6, FALSE)</f>
        <v>Organic</v>
      </c>
    </row>
    <row r="67" spans="1:5">
      <c r="A67">
        <v>1068</v>
      </c>
      <c r="B67" s="2">
        <v>45371.689583333333</v>
      </c>
      <c r="C67" t="str">
        <f>VLOOKUP(A67, user_table!$A:$B, 2, FALSE)</f>
        <v>Female</v>
      </c>
      <c r="D67" t="str">
        <f>VLOOKUP(A67, user_table!$A:$F, 5, FALSE)</f>
        <v>Desktop</v>
      </c>
      <c r="E67" t="str">
        <f>VLOOKUP(A67, user_table!$A:$F, 6, FALSE)</f>
        <v>Social</v>
      </c>
    </row>
    <row r="68" spans="1:5">
      <c r="A68">
        <v>1235</v>
      </c>
      <c r="B68" s="2">
        <v>45384.318749999999</v>
      </c>
      <c r="C68" t="str">
        <f>VLOOKUP(A68, user_table!$A:$B, 2, FALSE)</f>
        <v>Male</v>
      </c>
      <c r="D68" t="str">
        <f>VLOOKUP(A68, user_table!$A:$F, 5, FALSE)</f>
        <v>Mobile</v>
      </c>
      <c r="E68" t="str">
        <f>VLOOKUP(A68, user_table!$A:$F, 6, FALSE)</f>
        <v>Organic</v>
      </c>
    </row>
    <row r="69" spans="1:5">
      <c r="A69">
        <v>1164</v>
      </c>
      <c r="B69" s="2">
        <v>45316.876388888886</v>
      </c>
      <c r="C69" t="str">
        <f>VLOOKUP(A69, user_table!$A:$B, 2, FALSE)</f>
        <v>Female</v>
      </c>
      <c r="D69" t="str">
        <f>VLOOKUP(A69, user_table!$A:$F, 5, FALSE)</f>
        <v>Mobile</v>
      </c>
      <c r="E69" t="str">
        <f>VLOOKUP(A69, user_table!$A:$F, 6, FALSE)</f>
        <v>Organic</v>
      </c>
    </row>
    <row r="70" spans="1:5">
      <c r="A70">
        <v>1579</v>
      </c>
      <c r="B70" s="2">
        <v>45341.320138888892</v>
      </c>
      <c r="C70" t="str">
        <f>VLOOKUP(A70, user_table!$A:$B, 2, FALSE)</f>
        <v>Male</v>
      </c>
      <c r="D70" t="str">
        <f>VLOOKUP(A70, user_table!$A:$F, 5, FALSE)</f>
        <v>Desktop</v>
      </c>
      <c r="E70" t="str">
        <f>VLOOKUP(A70, user_table!$A:$F, 6, FALSE)</f>
        <v>Social</v>
      </c>
    </row>
    <row r="71" spans="1:5">
      <c r="A71">
        <v>1816</v>
      </c>
      <c r="B71" s="2">
        <v>45295.211805555555</v>
      </c>
      <c r="C71" t="str">
        <f>VLOOKUP(A71, user_table!$A:$B, 2, FALSE)</f>
        <v>Male</v>
      </c>
      <c r="D71" t="str">
        <f>VLOOKUP(A71, user_table!$A:$F, 5, FALSE)</f>
        <v>Mobile</v>
      </c>
      <c r="E71" t="str">
        <f>VLOOKUP(A71, user_table!$A:$F, 6, FALSE)</f>
        <v>Paid</v>
      </c>
    </row>
    <row r="72" spans="1:5">
      <c r="A72">
        <v>1406</v>
      </c>
      <c r="B72" s="2">
        <v>45330.515277777777</v>
      </c>
      <c r="C72" t="str">
        <f>VLOOKUP(A72, user_table!$A:$B, 2, FALSE)</f>
        <v>Female</v>
      </c>
      <c r="D72" t="str">
        <f>VLOOKUP(A72, user_table!$A:$F, 5, FALSE)</f>
        <v>Tablet</v>
      </c>
      <c r="E72" t="str">
        <f>VLOOKUP(A72, user_table!$A:$F, 6, FALSE)</f>
        <v>Direct</v>
      </c>
    </row>
    <row r="73" spans="1:5">
      <c r="A73">
        <v>1245</v>
      </c>
      <c r="B73" s="2">
        <v>45380.517361111109</v>
      </c>
      <c r="C73" t="str">
        <f>VLOOKUP(A73, user_table!$A:$B, 2, FALSE)</f>
        <v>Male</v>
      </c>
      <c r="D73" t="str">
        <f>VLOOKUP(A73, user_table!$A:$F, 5, FALSE)</f>
        <v>Tablet</v>
      </c>
      <c r="E73" t="str">
        <f>VLOOKUP(A73, user_table!$A:$F, 6, FALSE)</f>
        <v>Paid</v>
      </c>
    </row>
    <row r="74" spans="1:5">
      <c r="A74">
        <v>1363</v>
      </c>
      <c r="B74" s="2">
        <v>45370.272916666669</v>
      </c>
      <c r="C74" t="str">
        <f>VLOOKUP(A74, user_table!$A:$B, 2, FALSE)</f>
        <v>Male</v>
      </c>
      <c r="D74" t="str">
        <f>VLOOKUP(A74, user_table!$A:$F, 5, FALSE)</f>
        <v>Desktop</v>
      </c>
      <c r="E74" t="str">
        <f>VLOOKUP(A74, user_table!$A:$F, 6, FALSE)</f>
        <v>Social</v>
      </c>
    </row>
    <row r="75" spans="1:5">
      <c r="A75">
        <v>1131</v>
      </c>
      <c r="B75" s="2">
        <v>45296.989583333336</v>
      </c>
      <c r="C75" t="str">
        <f>VLOOKUP(A75, user_table!$A:$B, 2, FALSE)</f>
        <v>Male</v>
      </c>
      <c r="D75" t="str">
        <f>VLOOKUP(A75, user_table!$A:$F, 5, FALSE)</f>
        <v>Mobile</v>
      </c>
      <c r="E75" t="str">
        <f>VLOOKUP(A75, user_table!$A:$F, 6, FALSE)</f>
        <v>Social</v>
      </c>
    </row>
    <row r="76" spans="1:5">
      <c r="A76">
        <v>1575</v>
      </c>
      <c r="B76" s="2">
        <v>45303.107638888891</v>
      </c>
      <c r="C76" t="str">
        <f>VLOOKUP(A76, user_table!$A:$B, 2, FALSE)</f>
        <v>Female</v>
      </c>
      <c r="D76" t="str">
        <f>VLOOKUP(A76, user_table!$A:$F, 5, FALSE)</f>
        <v>Desktop</v>
      </c>
      <c r="E76" t="str">
        <f>VLOOKUP(A76, user_table!$A:$F, 6, FALSE)</f>
        <v>Organic</v>
      </c>
    </row>
    <row r="77" spans="1:5">
      <c r="A77">
        <v>1053</v>
      </c>
      <c r="B77" s="2">
        <v>45331.995138888888</v>
      </c>
      <c r="C77" t="str">
        <f>VLOOKUP(A77, user_table!$A:$B, 2, FALSE)</f>
        <v>Female</v>
      </c>
      <c r="D77" t="str">
        <f>VLOOKUP(A77, user_table!$A:$F, 5, FALSE)</f>
        <v>Desktop</v>
      </c>
      <c r="E77" t="str">
        <f>VLOOKUP(A77, user_table!$A:$F, 6, FALSE)</f>
        <v>Direct</v>
      </c>
    </row>
    <row r="78" spans="1:5">
      <c r="A78">
        <v>1112</v>
      </c>
      <c r="B78" s="2">
        <v>45366.765277777777</v>
      </c>
      <c r="C78" t="str">
        <f>VLOOKUP(A78, user_table!$A:$B, 2, FALSE)</f>
        <v>Male</v>
      </c>
      <c r="D78" t="str">
        <f>VLOOKUP(A78, user_table!$A:$F, 5, FALSE)</f>
        <v>Desktop</v>
      </c>
      <c r="E78" t="str">
        <f>VLOOKUP(A78, user_table!$A:$F, 6, FALSE)</f>
        <v>Social</v>
      </c>
    </row>
    <row r="79" spans="1:5">
      <c r="A79">
        <v>1308</v>
      </c>
      <c r="B79" s="2">
        <v>45339.343055555553</v>
      </c>
      <c r="C79" t="str">
        <f>VLOOKUP(A79, user_table!$A:$B, 2, FALSE)</f>
        <v>Male</v>
      </c>
      <c r="D79" t="str">
        <f>VLOOKUP(A79, user_table!$A:$F, 5, FALSE)</f>
        <v>Desktop</v>
      </c>
      <c r="E79" t="str">
        <f>VLOOKUP(A79, user_table!$A:$F, 6, FALSE)</f>
        <v>Paid</v>
      </c>
    </row>
    <row r="80" spans="1:5">
      <c r="A80">
        <v>1990</v>
      </c>
      <c r="B80" s="2">
        <v>45372.270138888889</v>
      </c>
      <c r="C80" t="str">
        <f>VLOOKUP(A80, user_table!$A:$B, 2, FALSE)</f>
        <v>Female</v>
      </c>
      <c r="D80" t="str">
        <f>VLOOKUP(A80, user_table!$A:$F, 5, FALSE)</f>
        <v>Desktop</v>
      </c>
      <c r="E80" t="str">
        <f>VLOOKUP(A80, user_table!$A:$F, 6, FALSE)</f>
        <v>Social</v>
      </c>
    </row>
    <row r="81" spans="1:5">
      <c r="A81">
        <v>1293</v>
      </c>
      <c r="B81" s="2">
        <v>45346.75</v>
      </c>
      <c r="C81" t="str">
        <f>VLOOKUP(A81, user_table!$A:$B, 2, FALSE)</f>
        <v>Female</v>
      </c>
      <c r="D81" t="str">
        <f>VLOOKUP(A81, user_table!$A:$F, 5, FALSE)</f>
        <v>Tablet</v>
      </c>
      <c r="E81" t="str">
        <f>VLOOKUP(A81, user_table!$A:$F, 6, FALSE)</f>
        <v>Organic</v>
      </c>
    </row>
    <row r="82" spans="1:5">
      <c r="A82">
        <v>1341</v>
      </c>
      <c r="B82" s="2">
        <v>45328.226388888892</v>
      </c>
      <c r="C82" t="str">
        <f>VLOOKUP(A82, user_table!$A:$B, 2, FALSE)</f>
        <v>Male</v>
      </c>
      <c r="D82" t="str">
        <f>VLOOKUP(A82, user_table!$A:$F, 5, FALSE)</f>
        <v>Desktop</v>
      </c>
      <c r="E82" t="str">
        <f>VLOOKUP(A82, user_table!$A:$F, 6, FALSE)</f>
        <v>Email</v>
      </c>
    </row>
    <row r="83" spans="1:5">
      <c r="A83">
        <v>1060</v>
      </c>
      <c r="B83" s="2">
        <v>45359.149305555555</v>
      </c>
      <c r="C83" t="str">
        <f>VLOOKUP(A83, user_table!$A:$B, 2, FALSE)</f>
        <v>Male</v>
      </c>
      <c r="D83" t="str">
        <f>VLOOKUP(A83, user_table!$A:$F, 5, FALSE)</f>
        <v>Mobile</v>
      </c>
      <c r="E83" t="str">
        <f>VLOOKUP(A83, user_table!$A:$F, 6, FALSE)</f>
        <v>Email</v>
      </c>
    </row>
    <row r="84" spans="1:5">
      <c r="A84">
        <v>1471</v>
      </c>
      <c r="B84" s="2">
        <v>45304.679166666669</v>
      </c>
      <c r="C84" t="str">
        <f>VLOOKUP(A84, user_table!$A:$B, 2, FALSE)</f>
        <v>Male</v>
      </c>
      <c r="D84" t="str">
        <f>VLOOKUP(A84, user_table!$A:$F, 5, FALSE)</f>
        <v>Tablet</v>
      </c>
      <c r="E84" t="str">
        <f>VLOOKUP(A84, user_table!$A:$F, 6, FALSE)</f>
        <v>Social</v>
      </c>
    </row>
    <row r="85" spans="1:5">
      <c r="A85">
        <v>1961</v>
      </c>
      <c r="B85" s="2">
        <v>45338.160416666666</v>
      </c>
      <c r="C85" t="str">
        <f>VLOOKUP(A85, user_table!$A:$B, 2, FALSE)</f>
        <v>Male</v>
      </c>
      <c r="D85" t="str">
        <f>VLOOKUP(A85, user_table!$A:$F, 5, FALSE)</f>
        <v>Desktop</v>
      </c>
      <c r="E85" t="str">
        <f>VLOOKUP(A85, user_table!$A:$F, 6, FALSE)</f>
        <v>Organic</v>
      </c>
    </row>
    <row r="86" spans="1:5">
      <c r="A86">
        <v>1806</v>
      </c>
      <c r="B86" s="2">
        <v>45360.37222222222</v>
      </c>
      <c r="C86" t="str">
        <f>VLOOKUP(A86, user_table!$A:$B, 2, FALSE)</f>
        <v>Female</v>
      </c>
      <c r="D86" t="str">
        <f>VLOOKUP(A86, user_table!$A:$F, 5, FALSE)</f>
        <v>Mobile</v>
      </c>
      <c r="E86" t="str">
        <f>VLOOKUP(A86, user_table!$A:$F, 6, FALSE)</f>
        <v>Organic</v>
      </c>
    </row>
    <row r="87" spans="1:5">
      <c r="A87">
        <v>1220</v>
      </c>
      <c r="B87" s="2">
        <v>45363.761111111111</v>
      </c>
      <c r="C87" t="str">
        <f>VLOOKUP(A87, user_table!$A:$B, 2, FALSE)</f>
        <v>Female</v>
      </c>
      <c r="D87" t="str">
        <f>VLOOKUP(A87, user_table!$A:$F, 5, FALSE)</f>
        <v>Tablet</v>
      </c>
      <c r="E87" t="str">
        <f>VLOOKUP(A87, user_table!$A:$F, 6, FALSE)</f>
        <v>Social</v>
      </c>
    </row>
    <row r="88" spans="1:5">
      <c r="A88">
        <v>1396</v>
      </c>
      <c r="B88" s="2">
        <v>45383.6</v>
      </c>
      <c r="C88" t="str">
        <f>VLOOKUP(A88, user_table!$A:$B, 2, FALSE)</f>
        <v>Female</v>
      </c>
      <c r="D88" t="str">
        <f>VLOOKUP(A88, user_table!$A:$F, 5, FALSE)</f>
        <v>Desktop</v>
      </c>
      <c r="E88" t="str">
        <f>VLOOKUP(A88, user_table!$A:$F, 6, FALSE)</f>
        <v>Organic</v>
      </c>
    </row>
    <row r="89" spans="1:5">
      <c r="A89">
        <v>1246</v>
      </c>
      <c r="B89" s="2">
        <v>45367.65902777778</v>
      </c>
      <c r="C89" t="str">
        <f>VLOOKUP(A89, user_table!$A:$B, 2, FALSE)</f>
        <v>Female</v>
      </c>
      <c r="D89" t="str">
        <f>VLOOKUP(A89, user_table!$A:$F, 5, FALSE)</f>
        <v>Desktop</v>
      </c>
      <c r="E89" t="str">
        <f>VLOOKUP(A89, user_table!$A:$F, 6, FALSE)</f>
        <v>Paid</v>
      </c>
    </row>
    <row r="90" spans="1:5">
      <c r="A90">
        <v>1037</v>
      </c>
      <c r="B90" s="2">
        <v>45326.450694444444</v>
      </c>
      <c r="C90" t="str">
        <f>VLOOKUP(A90, user_table!$A:$B, 2, FALSE)</f>
        <v>Male</v>
      </c>
      <c r="D90" t="str">
        <f>VLOOKUP(A90, user_table!$A:$F, 5, FALSE)</f>
        <v>Mobile</v>
      </c>
      <c r="E90" t="str">
        <f>VLOOKUP(A90, user_table!$A:$F, 6, FALSE)</f>
        <v>Direct</v>
      </c>
    </row>
    <row r="91" spans="1:5">
      <c r="A91">
        <v>1650</v>
      </c>
      <c r="B91" s="2">
        <v>45353.895138888889</v>
      </c>
      <c r="C91" t="str">
        <f>VLOOKUP(A91, user_table!$A:$B, 2, FALSE)</f>
        <v>Male</v>
      </c>
      <c r="D91" t="str">
        <f>VLOOKUP(A91, user_table!$A:$F, 5, FALSE)</f>
        <v>Mobile</v>
      </c>
      <c r="E91" t="str">
        <f>VLOOKUP(A91, user_table!$A:$F, 6, FALSE)</f>
        <v>Direct</v>
      </c>
    </row>
    <row r="92" spans="1:5">
      <c r="A92">
        <v>1304</v>
      </c>
      <c r="B92" s="2">
        <v>45370.020833333336</v>
      </c>
      <c r="C92" t="str">
        <f>VLOOKUP(A92, user_table!$A:$B, 2, FALSE)</f>
        <v>Female</v>
      </c>
      <c r="D92" t="str">
        <f>VLOOKUP(A92, user_table!$A:$F, 5, FALSE)</f>
        <v>Mobile</v>
      </c>
      <c r="E92" t="str">
        <f>VLOOKUP(A92, user_table!$A:$F, 6, FALSE)</f>
        <v>Email</v>
      </c>
    </row>
    <row r="93" spans="1:5">
      <c r="A93">
        <v>1599</v>
      </c>
      <c r="B93" s="2">
        <v>45309.336111111108</v>
      </c>
      <c r="C93" t="str">
        <f>VLOOKUP(A93, user_table!$A:$B, 2, FALSE)</f>
        <v>Male</v>
      </c>
      <c r="D93" t="str">
        <f>VLOOKUP(A93, user_table!$A:$F, 5, FALSE)</f>
        <v>Desktop</v>
      </c>
      <c r="E93" t="str">
        <f>VLOOKUP(A93, user_table!$A:$F, 6, FALSE)</f>
        <v>Organic</v>
      </c>
    </row>
    <row r="94" spans="1:5">
      <c r="A94">
        <v>1226</v>
      </c>
      <c r="B94" s="2">
        <v>45343.868055555555</v>
      </c>
      <c r="C94" t="str">
        <f>VLOOKUP(A94, user_table!$A:$B, 2, FALSE)</f>
        <v>Male</v>
      </c>
      <c r="D94" t="str">
        <f>VLOOKUP(A94, user_table!$A:$F, 5, FALSE)</f>
        <v>Desktop</v>
      </c>
      <c r="E94" t="str">
        <f>VLOOKUP(A94, user_table!$A:$F, 6, FALSE)</f>
        <v>Social</v>
      </c>
    </row>
    <row r="95" spans="1:5">
      <c r="A95">
        <v>1111</v>
      </c>
      <c r="B95" s="2">
        <v>45323.905555555553</v>
      </c>
      <c r="C95" t="str">
        <f>VLOOKUP(A95, user_table!$A:$B, 2, FALSE)</f>
        <v>Male</v>
      </c>
      <c r="D95" t="str">
        <f>VLOOKUP(A95, user_table!$A:$F, 5, FALSE)</f>
        <v>Mobile</v>
      </c>
      <c r="E95" t="str">
        <f>VLOOKUP(A95, user_table!$A:$F, 6, FALSE)</f>
        <v>Paid</v>
      </c>
    </row>
    <row r="96" spans="1:5">
      <c r="A96">
        <v>1474</v>
      </c>
      <c r="B96" s="2">
        <v>45324.43472222222</v>
      </c>
      <c r="C96" t="str">
        <f>VLOOKUP(A96, user_table!$A:$B, 2, FALSE)</f>
        <v>Female</v>
      </c>
      <c r="D96" t="str">
        <f>VLOOKUP(A96, user_table!$A:$F, 5, FALSE)</f>
        <v>Mobile</v>
      </c>
      <c r="E96" t="str">
        <f>VLOOKUP(A96, user_table!$A:$F, 6, FALSE)</f>
        <v>Organic</v>
      </c>
    </row>
    <row r="97" spans="1:5">
      <c r="A97">
        <v>1890</v>
      </c>
      <c r="B97" s="2">
        <v>45340.69027777778</v>
      </c>
      <c r="C97" t="str">
        <f>VLOOKUP(A97, user_table!$A:$B, 2, FALSE)</f>
        <v>Male</v>
      </c>
      <c r="D97" t="str">
        <f>VLOOKUP(A97, user_table!$A:$F, 5, FALSE)</f>
        <v>Desktop</v>
      </c>
      <c r="E97" t="str">
        <f>VLOOKUP(A97, user_table!$A:$F, 6, FALSE)</f>
        <v>Organic</v>
      </c>
    </row>
    <row r="98" spans="1:5">
      <c r="A98">
        <v>1722</v>
      </c>
      <c r="B98" s="2">
        <v>45296.953472222223</v>
      </c>
      <c r="C98" t="str">
        <f>VLOOKUP(A98, user_table!$A:$B, 2, FALSE)</f>
        <v>Male</v>
      </c>
      <c r="D98" t="str">
        <f>VLOOKUP(A98, user_table!$A:$F, 5, FALSE)</f>
        <v>Desktop</v>
      </c>
      <c r="E98" t="str">
        <f>VLOOKUP(A98, user_table!$A:$F, 6, FALSE)</f>
        <v>Social</v>
      </c>
    </row>
    <row r="99" spans="1:5">
      <c r="A99">
        <v>1400</v>
      </c>
      <c r="B99" s="2">
        <v>45328.304166666669</v>
      </c>
      <c r="C99" t="str">
        <f>VLOOKUP(A99, user_table!$A:$B, 2, FALSE)</f>
        <v>Female</v>
      </c>
      <c r="D99" t="str">
        <f>VLOOKUP(A99, user_table!$A:$F, 5, FALSE)</f>
        <v>Desktop</v>
      </c>
      <c r="E99" t="str">
        <f>VLOOKUP(A99, user_table!$A:$F, 6, FALSE)</f>
        <v>Organic</v>
      </c>
    </row>
    <row r="100" spans="1:5">
      <c r="A100">
        <v>1253</v>
      </c>
      <c r="B100" s="2">
        <v>45306.529861111114</v>
      </c>
      <c r="C100" t="str">
        <f>VLOOKUP(A100, user_table!$A:$B, 2, FALSE)</f>
        <v>Female</v>
      </c>
      <c r="D100" t="str">
        <f>VLOOKUP(A100, user_table!$A:$F, 5, FALSE)</f>
        <v>Desktop</v>
      </c>
      <c r="E100" t="str">
        <f>VLOOKUP(A100, user_table!$A:$F, 6, FALSE)</f>
        <v>Direct</v>
      </c>
    </row>
    <row r="101" spans="1:5">
      <c r="A101">
        <v>1724</v>
      </c>
      <c r="B101" s="2">
        <v>45338.107638888891</v>
      </c>
      <c r="C101" t="str">
        <f>VLOOKUP(A101, user_table!$A:$B, 2, FALSE)</f>
        <v>Female</v>
      </c>
      <c r="D101" t="str">
        <f>VLOOKUP(A101, user_table!$A:$F, 5, FALSE)</f>
        <v>Tablet</v>
      </c>
      <c r="E101" t="str">
        <f>VLOOKUP(A101, user_table!$A:$F, 6, FALSE)</f>
        <v>Social</v>
      </c>
    </row>
    <row r="102" spans="1:5">
      <c r="A102">
        <v>1536</v>
      </c>
      <c r="B102" s="2">
        <v>45317.638888888891</v>
      </c>
      <c r="C102" t="str">
        <f>VLOOKUP(A102, user_table!$A:$B, 2, FALSE)</f>
        <v>Female</v>
      </c>
      <c r="D102" t="str">
        <f>VLOOKUP(A102, user_table!$A:$F, 5, FALSE)</f>
        <v>Tablet</v>
      </c>
      <c r="E102" t="str">
        <f>VLOOKUP(A102, user_table!$A:$F, 6, FALSE)</f>
        <v>Organic</v>
      </c>
    </row>
    <row r="103" spans="1:5">
      <c r="A103">
        <v>1553</v>
      </c>
      <c r="B103" s="2">
        <v>45340.289583333331</v>
      </c>
      <c r="C103" t="str">
        <f>VLOOKUP(A103, user_table!$A:$B, 2, FALSE)</f>
        <v>Female</v>
      </c>
      <c r="D103" t="str">
        <f>VLOOKUP(A103, user_table!$A:$F, 5, FALSE)</f>
        <v>Desktop</v>
      </c>
      <c r="E103" t="str">
        <f>VLOOKUP(A103, user_table!$A:$F, 6, FALSE)</f>
        <v>Social</v>
      </c>
    </row>
    <row r="104" spans="1:5">
      <c r="A104">
        <v>1311</v>
      </c>
      <c r="B104" s="2">
        <v>45368.34097222222</v>
      </c>
      <c r="C104" t="str">
        <f>VLOOKUP(A104, user_table!$A:$B, 2, FALSE)</f>
        <v>Male</v>
      </c>
      <c r="D104" t="str">
        <f>VLOOKUP(A104, user_table!$A:$F, 5, FALSE)</f>
        <v>Mobile</v>
      </c>
      <c r="E104" t="str">
        <f>VLOOKUP(A104, user_table!$A:$F, 6, FALSE)</f>
        <v>Organic</v>
      </c>
    </row>
    <row r="105" spans="1:5">
      <c r="A105">
        <v>1206</v>
      </c>
      <c r="B105" s="2">
        <v>45382.271527777775</v>
      </c>
      <c r="C105" t="str">
        <f>VLOOKUP(A105, user_table!$A:$B, 2, FALSE)</f>
        <v>Male</v>
      </c>
      <c r="D105" t="str">
        <f>VLOOKUP(A105, user_table!$A:$F, 5, FALSE)</f>
        <v>Mobile</v>
      </c>
      <c r="E105" t="str">
        <f>VLOOKUP(A105, user_table!$A:$F, 6, FALSE)</f>
        <v>Social</v>
      </c>
    </row>
    <row r="106" spans="1:5">
      <c r="A106">
        <v>1885</v>
      </c>
      <c r="B106" s="2">
        <v>45320.324305555558</v>
      </c>
      <c r="C106" t="str">
        <f>VLOOKUP(A106, user_table!$A:$B, 2, FALSE)</f>
        <v>Female</v>
      </c>
      <c r="D106" t="str">
        <f>VLOOKUP(A106, user_table!$A:$F, 5, FALSE)</f>
        <v>Desktop</v>
      </c>
      <c r="E106" t="str">
        <f>VLOOKUP(A106, user_table!$A:$F, 6, FALSE)</f>
        <v>Organic</v>
      </c>
    </row>
    <row r="107" spans="1:5">
      <c r="A107">
        <v>1071</v>
      </c>
      <c r="B107" s="2">
        <v>45325.342361111114</v>
      </c>
      <c r="C107" t="str">
        <f>VLOOKUP(A107, user_table!$A:$B, 2, FALSE)</f>
        <v>Female</v>
      </c>
      <c r="D107" t="str">
        <f>VLOOKUP(A107, user_table!$A:$F, 5, FALSE)</f>
        <v>Desktop</v>
      </c>
      <c r="E107" t="str">
        <f>VLOOKUP(A107, user_table!$A:$F, 6, FALSE)</f>
        <v>Paid</v>
      </c>
    </row>
    <row r="108" spans="1:5">
      <c r="A108">
        <v>1848</v>
      </c>
      <c r="B108" s="2">
        <v>45324.286805555559</v>
      </c>
      <c r="C108" t="str">
        <f>VLOOKUP(A108, user_table!$A:$B, 2, FALSE)</f>
        <v>Female</v>
      </c>
      <c r="D108" t="str">
        <f>VLOOKUP(A108, user_table!$A:$F, 5, FALSE)</f>
        <v>Desktop</v>
      </c>
      <c r="E108" t="str">
        <f>VLOOKUP(A108, user_table!$A:$F, 6, FALSE)</f>
        <v>Direct</v>
      </c>
    </row>
    <row r="109" spans="1:5">
      <c r="A109">
        <v>1767</v>
      </c>
      <c r="B109" s="2">
        <v>45326.806944444441</v>
      </c>
      <c r="C109" t="str">
        <f>VLOOKUP(A109, user_table!$A:$B, 2, FALSE)</f>
        <v>Female</v>
      </c>
      <c r="D109" t="str">
        <f>VLOOKUP(A109, user_table!$A:$F, 5, FALSE)</f>
        <v>Tablet</v>
      </c>
      <c r="E109" t="str">
        <f>VLOOKUP(A109, user_table!$A:$F, 6, FALSE)</f>
        <v>Organic</v>
      </c>
    </row>
    <row r="110" spans="1:5">
      <c r="A110">
        <v>1594</v>
      </c>
      <c r="B110" s="2">
        <v>45314.129861111112</v>
      </c>
      <c r="C110" t="str">
        <f>VLOOKUP(A110, user_table!$A:$B, 2, FALSE)</f>
        <v>Male</v>
      </c>
      <c r="D110" t="str">
        <f>VLOOKUP(A110, user_table!$A:$F, 5, FALSE)</f>
        <v>Desktop</v>
      </c>
      <c r="E110" t="str">
        <f>VLOOKUP(A110, user_table!$A:$F, 6, FALSE)</f>
        <v>Social</v>
      </c>
    </row>
    <row r="111" spans="1:5">
      <c r="A111">
        <v>1659</v>
      </c>
      <c r="B111" s="2">
        <v>45305.904166666667</v>
      </c>
      <c r="C111" t="str">
        <f>VLOOKUP(A111, user_table!$A:$B, 2, FALSE)</f>
        <v>Female</v>
      </c>
      <c r="D111" t="str">
        <f>VLOOKUP(A111, user_table!$A:$F, 5, FALSE)</f>
        <v>Mobile</v>
      </c>
      <c r="E111" t="str">
        <f>VLOOKUP(A111, user_table!$A:$F, 6, FALSE)</f>
        <v>Social</v>
      </c>
    </row>
    <row r="112" spans="1:5">
      <c r="A112">
        <v>1729</v>
      </c>
      <c r="B112" s="2">
        <v>45358.791666666664</v>
      </c>
      <c r="C112" t="str">
        <f>VLOOKUP(A112, user_table!$A:$B, 2, FALSE)</f>
        <v>Male</v>
      </c>
      <c r="D112" t="str">
        <f>VLOOKUP(A112, user_table!$A:$F, 5, FALSE)</f>
        <v>Desktop</v>
      </c>
      <c r="E112" t="str">
        <f>VLOOKUP(A112, user_table!$A:$F, 6, FALSE)</f>
        <v>Organic</v>
      </c>
    </row>
    <row r="113" spans="1:5">
      <c r="A113">
        <v>1461</v>
      </c>
      <c r="B113" s="2">
        <v>45364.07916666667</v>
      </c>
      <c r="C113" t="str">
        <f>VLOOKUP(A113, user_table!$A:$B, 2, FALSE)</f>
        <v>Male</v>
      </c>
      <c r="D113" t="str">
        <f>VLOOKUP(A113, user_table!$A:$F, 5, FALSE)</f>
        <v>Desktop</v>
      </c>
      <c r="E113" t="str">
        <f>VLOOKUP(A113, user_table!$A:$F, 6, FALSE)</f>
        <v>Social</v>
      </c>
    </row>
    <row r="114" spans="1:5">
      <c r="A114">
        <v>1697</v>
      </c>
      <c r="B114" s="2">
        <v>45356.48541666667</v>
      </c>
      <c r="C114" t="str">
        <f>VLOOKUP(A114, user_table!$A:$B, 2, FALSE)</f>
        <v>Male</v>
      </c>
      <c r="D114" t="str">
        <f>VLOOKUP(A114, user_table!$A:$F, 5, FALSE)</f>
        <v>Mobile</v>
      </c>
      <c r="E114" t="str">
        <f>VLOOKUP(A114, user_table!$A:$F, 6, FALSE)</f>
        <v>Social</v>
      </c>
    </row>
    <row r="115" spans="1:5">
      <c r="A115">
        <v>1887</v>
      </c>
      <c r="B115" s="2">
        <v>45335.664583333331</v>
      </c>
      <c r="C115" t="str">
        <f>VLOOKUP(A115, user_table!$A:$B, 2, FALSE)</f>
        <v>Female</v>
      </c>
      <c r="D115" t="str">
        <f>VLOOKUP(A115, user_table!$A:$F, 5, FALSE)</f>
        <v>Desktop</v>
      </c>
      <c r="E115" t="str">
        <f>VLOOKUP(A115, user_table!$A:$F, 6, FALSE)</f>
        <v>Social</v>
      </c>
    </row>
    <row r="116" spans="1:5">
      <c r="A116">
        <v>1842</v>
      </c>
      <c r="B116" s="2">
        <v>45368.354861111111</v>
      </c>
      <c r="C116" t="str">
        <f>VLOOKUP(A116, user_table!$A:$B, 2, FALSE)</f>
        <v>Female</v>
      </c>
      <c r="D116" t="str">
        <f>VLOOKUP(A116, user_table!$A:$F, 5, FALSE)</f>
        <v>Desktop</v>
      </c>
      <c r="E116" t="str">
        <f>VLOOKUP(A116, user_table!$A:$F, 6, FALSE)</f>
        <v>Organic</v>
      </c>
    </row>
    <row r="117" spans="1:5">
      <c r="A117">
        <v>1687</v>
      </c>
      <c r="B117" s="2">
        <v>45318.678472222222</v>
      </c>
      <c r="C117" t="str">
        <f>VLOOKUP(A117, user_table!$A:$B, 2, FALSE)</f>
        <v>Female</v>
      </c>
      <c r="D117" t="str">
        <f>VLOOKUP(A117, user_table!$A:$F, 5, FALSE)</f>
        <v>Desktop</v>
      </c>
      <c r="E117" t="str">
        <f>VLOOKUP(A117, user_table!$A:$F, 6, FALSE)</f>
        <v>Email</v>
      </c>
    </row>
    <row r="118" spans="1:5">
      <c r="A118">
        <v>2000</v>
      </c>
      <c r="B118" s="2">
        <v>45345.324999999997</v>
      </c>
      <c r="C118" t="str">
        <f>VLOOKUP(A118, user_table!$A:$B, 2, FALSE)</f>
        <v>Male</v>
      </c>
      <c r="D118" t="str">
        <f>VLOOKUP(A118, user_table!$A:$F, 5, FALSE)</f>
        <v>Mobile</v>
      </c>
      <c r="E118" t="str">
        <f>VLOOKUP(A118, user_table!$A:$F, 6, FALSE)</f>
        <v>Social</v>
      </c>
    </row>
    <row r="119" spans="1:5">
      <c r="A119">
        <v>1046</v>
      </c>
      <c r="B119" s="2">
        <v>45368.168749999997</v>
      </c>
      <c r="C119" t="str">
        <f>VLOOKUP(A119, user_table!$A:$B, 2, FALSE)</f>
        <v>Female</v>
      </c>
      <c r="D119" t="str">
        <f>VLOOKUP(A119, user_table!$A:$F, 5, FALSE)</f>
        <v>Desktop</v>
      </c>
      <c r="E119" t="str">
        <f>VLOOKUP(A119, user_table!$A:$F, 6, FALSE)</f>
        <v>Organic</v>
      </c>
    </row>
    <row r="120" spans="1:5">
      <c r="A120">
        <v>1752</v>
      </c>
      <c r="B120" s="2">
        <v>45362.5625</v>
      </c>
      <c r="C120" t="str">
        <f>VLOOKUP(A120, user_table!$A:$B, 2, FALSE)</f>
        <v>Female</v>
      </c>
      <c r="D120" t="str">
        <f>VLOOKUP(A120, user_table!$A:$F, 5, FALSE)</f>
        <v>Desktop</v>
      </c>
      <c r="E120" t="str">
        <f>VLOOKUP(A120, user_table!$A:$F, 6, FALSE)</f>
        <v>Social</v>
      </c>
    </row>
    <row r="121" spans="1:5">
      <c r="A121">
        <v>1170</v>
      </c>
      <c r="B121" s="2">
        <v>45364.063888888886</v>
      </c>
      <c r="C121" t="str">
        <f>VLOOKUP(A121, user_table!$A:$B, 2, FALSE)</f>
        <v>Female</v>
      </c>
      <c r="D121" t="str">
        <f>VLOOKUP(A121, user_table!$A:$F, 5, FALSE)</f>
        <v>Mobile</v>
      </c>
      <c r="E121" t="str">
        <f>VLOOKUP(A121, user_table!$A:$F, 6, FALSE)</f>
        <v>Email</v>
      </c>
    </row>
    <row r="122" spans="1:5">
      <c r="A122">
        <v>1153</v>
      </c>
      <c r="B122" s="2">
        <v>45339.538194444445</v>
      </c>
      <c r="C122" t="str">
        <f>VLOOKUP(A122, user_table!$A:$B, 2, FALSE)</f>
        <v>Male</v>
      </c>
      <c r="D122" t="str">
        <f>VLOOKUP(A122, user_table!$A:$F, 5, FALSE)</f>
        <v>Mobile</v>
      </c>
      <c r="E122" t="str">
        <f>VLOOKUP(A122, user_table!$A:$F, 6, FALSE)</f>
        <v>Organic</v>
      </c>
    </row>
  </sheetData>
  <phoneticPr fontId="4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9496-BEF7-47C6-8169-9A4D22A2D76F}">
  <dimension ref="A1:M221"/>
  <sheetViews>
    <sheetView workbookViewId="0">
      <selection activeCell="M17" sqref="M17"/>
    </sheetView>
  </sheetViews>
  <sheetFormatPr defaultRowHeight="14.5"/>
  <cols>
    <col min="1" max="1" width="9.1796875" bestFit="1" customWidth="1"/>
    <col min="2" max="2" width="15.08984375" bestFit="1" customWidth="1"/>
    <col min="7" max="7" width="14.453125" bestFit="1" customWidth="1"/>
    <col min="8" max="8" width="15.6328125" bestFit="1" customWidth="1"/>
    <col min="9" max="9" width="7.26953125" bestFit="1" customWidth="1"/>
    <col min="10" max="10" width="9" bestFit="1" customWidth="1"/>
    <col min="11" max="11" width="6.26953125" bestFit="1" customWidth="1"/>
    <col min="12" max="12" width="7.7265625" bestFit="1" customWidth="1"/>
    <col min="13" max="13" width="10.36328125" bestFit="1" customWidth="1"/>
    <col min="14" max="14" width="6" bestFit="1" customWidth="1"/>
    <col min="15" max="15" width="10.453125" bestFit="1" customWidth="1"/>
    <col min="16" max="16" width="10.36328125" bestFit="1" customWidth="1"/>
    <col min="17" max="17" width="6" bestFit="1" customWidth="1"/>
    <col min="18" max="18" width="10.453125" bestFit="1" customWidth="1"/>
    <col min="19" max="19" width="10.36328125" bestFit="1" customWidth="1"/>
    <col min="20" max="20" width="6" bestFit="1" customWidth="1"/>
    <col min="21" max="21" width="10.453125" bestFit="1" customWidth="1"/>
    <col min="22" max="22" width="10.36328125" bestFit="1" customWidth="1"/>
    <col min="23" max="23" width="6" bestFit="1" customWidth="1"/>
    <col min="24" max="24" width="10.453125" bestFit="1" customWidth="1"/>
    <col min="25" max="25" width="10.36328125" bestFit="1" customWidth="1"/>
    <col min="26" max="26" width="6" bestFit="1" customWidth="1"/>
    <col min="27" max="27" width="10.453125" bestFit="1" customWidth="1"/>
    <col min="28" max="28" width="10.36328125" bestFit="1" customWidth="1"/>
  </cols>
  <sheetData>
    <row r="1" spans="1:13">
      <c r="A1" t="s">
        <v>0</v>
      </c>
      <c r="B1" t="s">
        <v>21</v>
      </c>
      <c r="C1" t="s">
        <v>31</v>
      </c>
      <c r="D1" t="s">
        <v>32</v>
      </c>
      <c r="E1" t="s">
        <v>33</v>
      </c>
    </row>
    <row r="2" spans="1:13">
      <c r="A2">
        <v>1781</v>
      </c>
      <c r="B2" s="2">
        <v>45337.158333333333</v>
      </c>
      <c r="C2" t="str">
        <f>VLOOKUP(A2, user_table!$A:$B, 2, FALSE)</f>
        <v>Female</v>
      </c>
      <c r="D2" t="str">
        <f>VLOOKUP(A2, user_table!$A:$F, 5, FALSE)</f>
        <v>Desktop</v>
      </c>
      <c r="E2" t="str">
        <f>VLOOKUP(A2, user_table!$A:$F, 6, FALSE)</f>
        <v>Organic</v>
      </c>
      <c r="G2" s="7" t="s">
        <v>36</v>
      </c>
      <c r="H2" s="7" t="s">
        <v>37</v>
      </c>
    </row>
    <row r="3" spans="1:13">
      <c r="A3">
        <v>1724</v>
      </c>
      <c r="B3" s="2">
        <v>45347.082638888889</v>
      </c>
      <c r="C3" t="str">
        <f>VLOOKUP(A3, user_table!$A:$B, 2, FALSE)</f>
        <v>Female</v>
      </c>
      <c r="D3" t="str">
        <f>VLOOKUP(A3, user_table!$A:$F, 5, FALSE)</f>
        <v>Tablet</v>
      </c>
      <c r="E3" t="str">
        <f>VLOOKUP(A3, user_table!$A:$F, 6, FALSE)</f>
        <v>Social</v>
      </c>
      <c r="H3" t="s">
        <v>20</v>
      </c>
      <c r="I3" t="s">
        <v>17</v>
      </c>
      <c r="J3" t="s">
        <v>9</v>
      </c>
      <c r="K3" t="s">
        <v>15</v>
      </c>
      <c r="L3" t="s">
        <v>14</v>
      </c>
      <c r="M3" t="s">
        <v>35</v>
      </c>
    </row>
    <row r="4" spans="1:13">
      <c r="A4">
        <v>1046</v>
      </c>
      <c r="B4" s="2">
        <v>45375.900694444441</v>
      </c>
      <c r="C4" t="str">
        <f>VLOOKUP(A4, user_table!$A:$B, 2, FALSE)</f>
        <v>Female</v>
      </c>
      <c r="D4" t="str">
        <f>VLOOKUP(A4, user_table!$A:$F, 5, FALSE)</f>
        <v>Desktop</v>
      </c>
      <c r="E4" t="str">
        <f>VLOOKUP(A4, user_table!$A:$F, 6, FALSE)</f>
        <v>Organic</v>
      </c>
      <c r="G4" s="7" t="s">
        <v>34</v>
      </c>
    </row>
    <row r="5" spans="1:13">
      <c r="A5">
        <v>1634</v>
      </c>
      <c r="B5" s="2">
        <v>45309.603472222225</v>
      </c>
      <c r="C5" t="str">
        <f>VLOOKUP(A5, user_table!$A:$B, 2, FALSE)</f>
        <v>Female</v>
      </c>
      <c r="D5" t="str">
        <f>VLOOKUP(A5, user_table!$A:$F, 5, FALSE)</f>
        <v>Desktop</v>
      </c>
      <c r="E5" t="str">
        <f>VLOOKUP(A5, user_table!$A:$F, 6, FALSE)</f>
        <v>Organic</v>
      </c>
      <c r="G5" s="8" t="s">
        <v>10</v>
      </c>
      <c r="H5" s="1">
        <v>11</v>
      </c>
      <c r="I5" s="1">
        <v>18</v>
      </c>
      <c r="J5" s="1">
        <v>35</v>
      </c>
      <c r="K5" s="1">
        <v>20</v>
      </c>
      <c r="L5" s="1">
        <v>16</v>
      </c>
      <c r="M5" s="1">
        <v>100</v>
      </c>
    </row>
    <row r="6" spans="1:13">
      <c r="A6">
        <v>1870</v>
      </c>
      <c r="B6" s="2">
        <v>45378.772222222222</v>
      </c>
      <c r="C6" t="str">
        <f>VLOOKUP(A6, user_table!$A:$B, 2, FALSE)</f>
        <v>Female</v>
      </c>
      <c r="D6" t="str">
        <f>VLOOKUP(A6, user_table!$A:$F, 5, FALSE)</f>
        <v>Mobile</v>
      </c>
      <c r="E6" t="str">
        <f>VLOOKUP(A6, user_table!$A:$F, 6, FALSE)</f>
        <v>Organic</v>
      </c>
      <c r="G6" s="8" t="s">
        <v>6</v>
      </c>
      <c r="H6" s="1">
        <v>10</v>
      </c>
      <c r="I6" s="1">
        <v>12</v>
      </c>
      <c r="J6" s="1">
        <v>37</v>
      </c>
      <c r="K6" s="1">
        <v>28</v>
      </c>
      <c r="L6" s="1">
        <v>33</v>
      </c>
      <c r="M6" s="1">
        <v>120</v>
      </c>
    </row>
    <row r="7" spans="1:13">
      <c r="A7">
        <v>1913</v>
      </c>
      <c r="B7" s="2">
        <v>45311.625</v>
      </c>
      <c r="C7" t="str">
        <f>VLOOKUP(A7, user_table!$A:$B, 2, FALSE)</f>
        <v>Female</v>
      </c>
      <c r="D7" t="str">
        <f>VLOOKUP(A7, user_table!$A:$F, 5, FALSE)</f>
        <v>Tablet</v>
      </c>
      <c r="E7" t="str">
        <f>VLOOKUP(A7, user_table!$A:$F, 6, FALSE)</f>
        <v>Email</v>
      </c>
      <c r="G7" s="8" t="s">
        <v>35</v>
      </c>
      <c r="H7" s="1">
        <v>21</v>
      </c>
      <c r="I7" s="1">
        <v>30</v>
      </c>
      <c r="J7" s="1">
        <v>72</v>
      </c>
      <c r="K7" s="1">
        <v>48</v>
      </c>
      <c r="L7" s="1">
        <v>49</v>
      </c>
      <c r="M7" s="1">
        <v>220</v>
      </c>
    </row>
    <row r="8" spans="1:13">
      <c r="A8">
        <v>1983</v>
      </c>
      <c r="B8" s="2">
        <v>45361.960416666669</v>
      </c>
      <c r="C8" t="str">
        <f>VLOOKUP(A8, user_table!$A:$B, 2, FALSE)</f>
        <v>Male</v>
      </c>
      <c r="D8" t="str">
        <f>VLOOKUP(A8, user_table!$A:$F, 5, FALSE)</f>
        <v>Mobile</v>
      </c>
      <c r="E8" t="str">
        <f>VLOOKUP(A8, user_table!$A:$F, 6, FALSE)</f>
        <v>Social</v>
      </c>
    </row>
    <row r="9" spans="1:13">
      <c r="A9">
        <v>1101</v>
      </c>
      <c r="B9" s="2">
        <v>45364.578472222223</v>
      </c>
      <c r="C9" t="str">
        <f>VLOOKUP(A9, user_table!$A:$B, 2, FALSE)</f>
        <v>Male</v>
      </c>
      <c r="D9" t="str">
        <f>VLOOKUP(A9, user_table!$A:$F, 5, FALSE)</f>
        <v>Mobile</v>
      </c>
      <c r="E9" t="str">
        <f>VLOOKUP(A9, user_table!$A:$F, 6, FALSE)</f>
        <v>Paid</v>
      </c>
      <c r="G9" s="7" t="s">
        <v>36</v>
      </c>
      <c r="H9" s="7" t="s">
        <v>37</v>
      </c>
    </row>
    <row r="10" spans="1:13">
      <c r="A10">
        <v>1298</v>
      </c>
      <c r="B10" s="2">
        <v>45368.665972222225</v>
      </c>
      <c r="C10" t="str">
        <f>VLOOKUP(A10, user_table!$A:$B, 2, FALSE)</f>
        <v>Male</v>
      </c>
      <c r="D10" t="str">
        <f>VLOOKUP(A10, user_table!$A:$F, 5, FALSE)</f>
        <v>Mobile</v>
      </c>
      <c r="E10" t="str">
        <f>VLOOKUP(A10, user_table!$A:$F, 6, FALSE)</f>
        <v>Organic</v>
      </c>
      <c r="G10" s="7" t="s">
        <v>34</v>
      </c>
      <c r="H10" t="s">
        <v>10</v>
      </c>
      <c r="I10" t="s">
        <v>6</v>
      </c>
      <c r="J10" t="s">
        <v>35</v>
      </c>
    </row>
    <row r="11" spans="1:13">
      <c r="A11">
        <v>1967</v>
      </c>
      <c r="B11" s="2">
        <v>45359.238888888889</v>
      </c>
      <c r="C11" t="str">
        <f>VLOOKUP(A11, user_table!$A:$B, 2, FALSE)</f>
        <v>Female</v>
      </c>
      <c r="D11" t="str">
        <f>VLOOKUP(A11, user_table!$A:$F, 5, FALSE)</f>
        <v>Mobile</v>
      </c>
      <c r="E11" t="str">
        <f>VLOOKUP(A11, user_table!$A:$F, 6, FALSE)</f>
        <v>Social</v>
      </c>
      <c r="G11" s="8" t="s">
        <v>8</v>
      </c>
      <c r="H11" s="1">
        <v>50</v>
      </c>
      <c r="I11" s="1">
        <v>62</v>
      </c>
      <c r="J11" s="1">
        <v>112</v>
      </c>
    </row>
    <row r="12" spans="1:13">
      <c r="A12">
        <v>1009</v>
      </c>
      <c r="B12" s="2">
        <v>45368.240277777775</v>
      </c>
      <c r="C12" t="str">
        <f>VLOOKUP(A12, user_table!$A:$B, 2, FALSE)</f>
        <v>Female</v>
      </c>
      <c r="D12" t="str">
        <f>VLOOKUP(A12, user_table!$A:$F, 5, FALSE)</f>
        <v>Mobile</v>
      </c>
      <c r="E12" t="str">
        <f>VLOOKUP(A12, user_table!$A:$F, 6, FALSE)</f>
        <v>Organic</v>
      </c>
      <c r="G12" s="8" t="s">
        <v>12</v>
      </c>
      <c r="H12" s="1">
        <v>36</v>
      </c>
      <c r="I12" s="1">
        <v>42</v>
      </c>
      <c r="J12" s="1">
        <v>78</v>
      </c>
    </row>
    <row r="13" spans="1:13">
      <c r="A13">
        <v>1752</v>
      </c>
      <c r="B13" s="2">
        <v>45310.14166666667</v>
      </c>
      <c r="C13" t="str">
        <f>VLOOKUP(A13, user_table!$A:$B, 2, FALSE)</f>
        <v>Female</v>
      </c>
      <c r="D13" t="str">
        <f>VLOOKUP(A13, user_table!$A:$F, 5, FALSE)</f>
        <v>Desktop</v>
      </c>
      <c r="E13" t="str">
        <f>VLOOKUP(A13, user_table!$A:$F, 6, FALSE)</f>
        <v>Social</v>
      </c>
      <c r="G13" s="8" t="s">
        <v>19</v>
      </c>
      <c r="H13" s="1">
        <v>14</v>
      </c>
      <c r="I13" s="1">
        <v>16</v>
      </c>
      <c r="J13" s="1">
        <v>30</v>
      </c>
    </row>
    <row r="14" spans="1:13">
      <c r="A14">
        <v>1292</v>
      </c>
      <c r="B14" s="2">
        <v>45378.818055555559</v>
      </c>
      <c r="C14" t="str">
        <f>VLOOKUP(A14, user_table!$A:$B, 2, FALSE)</f>
        <v>Male</v>
      </c>
      <c r="D14" t="str">
        <f>VLOOKUP(A14, user_table!$A:$F, 5, FALSE)</f>
        <v>Desktop</v>
      </c>
      <c r="E14" t="str">
        <f>VLOOKUP(A14, user_table!$A:$F, 6, FALSE)</f>
        <v>Organic</v>
      </c>
      <c r="G14" s="8" t="s">
        <v>35</v>
      </c>
      <c r="H14" s="1">
        <v>100</v>
      </c>
      <c r="I14" s="1">
        <v>120</v>
      </c>
      <c r="J14" s="1">
        <v>220</v>
      </c>
    </row>
    <row r="15" spans="1:13">
      <c r="A15">
        <v>1479</v>
      </c>
      <c r="B15" s="2">
        <v>45335.705555555556</v>
      </c>
      <c r="C15" t="str">
        <f>VLOOKUP(A15, user_table!$A:$B, 2, FALSE)</f>
        <v>Female</v>
      </c>
      <c r="D15" t="str">
        <f>VLOOKUP(A15, user_table!$A:$F, 5, FALSE)</f>
        <v>Desktop</v>
      </c>
      <c r="E15" t="str">
        <f>VLOOKUP(A15, user_table!$A:$F, 6, FALSE)</f>
        <v>Paid</v>
      </c>
    </row>
    <row r="16" spans="1:13">
      <c r="A16">
        <v>1411</v>
      </c>
      <c r="B16" s="2">
        <v>45343.568055555559</v>
      </c>
      <c r="C16" t="str">
        <f>VLOOKUP(A16, user_table!$A:$B, 2, FALSE)</f>
        <v>Male</v>
      </c>
      <c r="D16" t="str">
        <f>VLOOKUP(A16, user_table!$A:$F, 5, FALSE)</f>
        <v>Desktop</v>
      </c>
      <c r="E16" t="str">
        <f>VLOOKUP(A16, user_table!$A:$F, 6, FALSE)</f>
        <v>Social</v>
      </c>
    </row>
    <row r="17" spans="1:5">
      <c r="A17">
        <v>1004</v>
      </c>
      <c r="B17" s="2">
        <v>45382.303472222222</v>
      </c>
      <c r="C17" t="str">
        <f>VLOOKUP(A17, user_table!$A:$B, 2, FALSE)</f>
        <v>Female</v>
      </c>
      <c r="D17" t="str">
        <f>VLOOKUP(A17, user_table!$A:$F, 5, FALSE)</f>
        <v>Desktop</v>
      </c>
      <c r="E17" t="str">
        <f>VLOOKUP(A17, user_table!$A:$F, 6, FALSE)</f>
        <v>Paid</v>
      </c>
    </row>
    <row r="18" spans="1:5">
      <c r="A18">
        <v>1216</v>
      </c>
      <c r="B18" s="2">
        <v>45344.429166666669</v>
      </c>
      <c r="C18" t="str">
        <f>VLOOKUP(A18, user_table!$A:$B, 2, FALSE)</f>
        <v>Male</v>
      </c>
      <c r="D18" t="str">
        <f>VLOOKUP(A18, user_table!$A:$F, 5, FALSE)</f>
        <v>Desktop</v>
      </c>
      <c r="E18" t="str">
        <f>VLOOKUP(A18, user_table!$A:$F, 6, FALSE)</f>
        <v>Email</v>
      </c>
    </row>
    <row r="19" spans="1:5">
      <c r="A19">
        <v>1210</v>
      </c>
      <c r="B19" s="2">
        <v>45351.172222222223</v>
      </c>
      <c r="C19" t="str">
        <f>VLOOKUP(A19, user_table!$A:$B, 2, FALSE)</f>
        <v>Male</v>
      </c>
      <c r="D19" t="str">
        <f>VLOOKUP(A19, user_table!$A:$F, 5, FALSE)</f>
        <v>Tablet</v>
      </c>
      <c r="E19" t="str">
        <f>VLOOKUP(A19, user_table!$A:$F, 6, FALSE)</f>
        <v>Organic</v>
      </c>
    </row>
    <row r="20" spans="1:5">
      <c r="A20">
        <v>1258</v>
      </c>
      <c r="B20" s="2">
        <v>45346.822222222225</v>
      </c>
      <c r="C20" t="str">
        <f>VLOOKUP(A20, user_table!$A:$B, 2, FALSE)</f>
        <v>Female</v>
      </c>
      <c r="D20" t="str">
        <f>VLOOKUP(A20, user_table!$A:$F, 5, FALSE)</f>
        <v>Desktop</v>
      </c>
      <c r="E20" t="str">
        <f>VLOOKUP(A20, user_table!$A:$F, 6, FALSE)</f>
        <v>Email</v>
      </c>
    </row>
    <row r="21" spans="1:5">
      <c r="A21">
        <v>1063</v>
      </c>
      <c r="B21" s="2">
        <v>45359.411805555559</v>
      </c>
      <c r="C21" t="str">
        <f>VLOOKUP(A21, user_table!$A:$B, 2, FALSE)</f>
        <v>Female</v>
      </c>
      <c r="D21" t="str">
        <f>VLOOKUP(A21, user_table!$A:$F, 5, FALSE)</f>
        <v>Desktop</v>
      </c>
      <c r="E21" t="str">
        <f>VLOOKUP(A21, user_table!$A:$F, 6, FALSE)</f>
        <v>Paid</v>
      </c>
    </row>
    <row r="22" spans="1:5">
      <c r="A22">
        <v>1557</v>
      </c>
      <c r="B22" s="2">
        <v>45383.746527777781</v>
      </c>
      <c r="C22" t="str">
        <f>VLOOKUP(A22, user_table!$A:$B, 2, FALSE)</f>
        <v>Male</v>
      </c>
      <c r="D22" t="str">
        <f>VLOOKUP(A22, user_table!$A:$F, 5, FALSE)</f>
        <v>Mobile</v>
      </c>
      <c r="E22" t="str">
        <f>VLOOKUP(A22, user_table!$A:$F, 6, FALSE)</f>
        <v>Social</v>
      </c>
    </row>
    <row r="23" spans="1:5">
      <c r="A23">
        <v>1655</v>
      </c>
      <c r="B23" s="2">
        <v>45334.949305555558</v>
      </c>
      <c r="C23" t="str">
        <f>VLOOKUP(A23, user_table!$A:$B, 2, FALSE)</f>
        <v>Male</v>
      </c>
      <c r="D23" t="str">
        <f>VLOOKUP(A23, user_table!$A:$F, 5, FALSE)</f>
        <v>Desktop</v>
      </c>
      <c r="E23" t="str">
        <f>VLOOKUP(A23, user_table!$A:$F, 6, FALSE)</f>
        <v>Social</v>
      </c>
    </row>
    <row r="24" spans="1:5">
      <c r="A24">
        <v>1112</v>
      </c>
      <c r="B24" s="2">
        <v>45364.842361111114</v>
      </c>
      <c r="C24" t="str">
        <f>VLOOKUP(A24, user_table!$A:$B, 2, FALSE)</f>
        <v>Male</v>
      </c>
      <c r="D24" t="str">
        <f>VLOOKUP(A24, user_table!$A:$F, 5, FALSE)</f>
        <v>Desktop</v>
      </c>
      <c r="E24" t="str">
        <f>VLOOKUP(A24, user_table!$A:$F, 6, FALSE)</f>
        <v>Social</v>
      </c>
    </row>
    <row r="25" spans="1:5">
      <c r="A25">
        <v>1417</v>
      </c>
      <c r="B25" s="2">
        <v>45319.277083333334</v>
      </c>
      <c r="C25" t="str">
        <f>VLOOKUP(A25, user_table!$A:$B, 2, FALSE)</f>
        <v>Male</v>
      </c>
      <c r="D25" t="str">
        <f>VLOOKUP(A25, user_table!$A:$F, 5, FALSE)</f>
        <v>Desktop</v>
      </c>
      <c r="E25" t="str">
        <f>VLOOKUP(A25, user_table!$A:$F, 6, FALSE)</f>
        <v>Email</v>
      </c>
    </row>
    <row r="26" spans="1:5">
      <c r="A26">
        <v>1553</v>
      </c>
      <c r="B26" s="2">
        <v>45331.890277777777</v>
      </c>
      <c r="C26" t="str">
        <f>VLOOKUP(A26, user_table!$A:$B, 2, FALSE)</f>
        <v>Female</v>
      </c>
      <c r="D26" t="str">
        <f>VLOOKUP(A26, user_table!$A:$F, 5, FALSE)</f>
        <v>Desktop</v>
      </c>
      <c r="E26" t="str">
        <f>VLOOKUP(A26, user_table!$A:$F, 6, FALSE)</f>
        <v>Social</v>
      </c>
    </row>
    <row r="27" spans="1:5">
      <c r="A27">
        <v>1284</v>
      </c>
      <c r="B27" s="2">
        <v>45380.197916666664</v>
      </c>
      <c r="C27" t="str">
        <f>VLOOKUP(A27, user_table!$A:$B, 2, FALSE)</f>
        <v>Male</v>
      </c>
      <c r="D27" t="str">
        <f>VLOOKUP(A27, user_table!$A:$F, 5, FALSE)</f>
        <v>Desktop</v>
      </c>
      <c r="E27" t="str">
        <f>VLOOKUP(A27, user_table!$A:$F, 6, FALSE)</f>
        <v>Organic</v>
      </c>
    </row>
    <row r="28" spans="1:5">
      <c r="A28">
        <v>1554</v>
      </c>
      <c r="B28" s="2">
        <v>45377.230555555558</v>
      </c>
      <c r="C28" t="str">
        <f>VLOOKUP(A28, user_table!$A:$B, 2, FALSE)</f>
        <v>Female</v>
      </c>
      <c r="D28" t="str">
        <f>VLOOKUP(A28, user_table!$A:$F, 5, FALSE)</f>
        <v>Desktop</v>
      </c>
      <c r="E28" t="str">
        <f>VLOOKUP(A28, user_table!$A:$F, 6, FALSE)</f>
        <v>Email</v>
      </c>
    </row>
    <row r="29" spans="1:5">
      <c r="A29">
        <v>1422</v>
      </c>
      <c r="B29" s="2">
        <v>45363.944444444445</v>
      </c>
      <c r="C29" t="str">
        <f>VLOOKUP(A29, user_table!$A:$B, 2, FALSE)</f>
        <v>Female</v>
      </c>
      <c r="D29" t="str">
        <f>VLOOKUP(A29, user_table!$A:$F, 5, FALSE)</f>
        <v>Mobile</v>
      </c>
      <c r="E29" t="str">
        <f>VLOOKUP(A29, user_table!$A:$F, 6, FALSE)</f>
        <v>Social</v>
      </c>
    </row>
    <row r="30" spans="1:5">
      <c r="A30">
        <v>1153</v>
      </c>
      <c r="B30" s="2">
        <v>45335.921527777777</v>
      </c>
      <c r="C30" t="str">
        <f>VLOOKUP(A30, user_table!$A:$B, 2, FALSE)</f>
        <v>Male</v>
      </c>
      <c r="D30" t="str">
        <f>VLOOKUP(A30, user_table!$A:$F, 5, FALSE)</f>
        <v>Mobile</v>
      </c>
      <c r="E30" t="str">
        <f>VLOOKUP(A30, user_table!$A:$F, 6, FALSE)</f>
        <v>Organic</v>
      </c>
    </row>
    <row r="31" spans="1:5">
      <c r="A31">
        <v>1779</v>
      </c>
      <c r="B31" s="2">
        <v>45339.729166666664</v>
      </c>
      <c r="C31" t="str">
        <f>VLOOKUP(A31, user_table!$A:$B, 2, FALSE)</f>
        <v>Female</v>
      </c>
      <c r="D31" t="str">
        <f>VLOOKUP(A31, user_table!$A:$F, 5, FALSE)</f>
        <v>Desktop</v>
      </c>
      <c r="E31" t="str">
        <f>VLOOKUP(A31, user_table!$A:$F, 6, FALSE)</f>
        <v>Email</v>
      </c>
    </row>
    <row r="32" spans="1:5">
      <c r="A32">
        <v>1614</v>
      </c>
      <c r="B32" s="2">
        <v>45368.779166666667</v>
      </c>
      <c r="C32" t="str">
        <f>VLOOKUP(A32, user_table!$A:$B, 2, FALSE)</f>
        <v>Male</v>
      </c>
      <c r="D32" t="str">
        <f>VLOOKUP(A32, user_table!$A:$F, 5, FALSE)</f>
        <v>Mobile</v>
      </c>
      <c r="E32" t="str">
        <f>VLOOKUP(A32, user_table!$A:$F, 6, FALSE)</f>
        <v>Social</v>
      </c>
    </row>
    <row r="33" spans="1:5">
      <c r="A33">
        <v>1228</v>
      </c>
      <c r="B33" s="2">
        <v>45347.907638888886</v>
      </c>
      <c r="C33" t="str">
        <f>VLOOKUP(A33, user_table!$A:$B, 2, FALSE)</f>
        <v>Male</v>
      </c>
      <c r="D33" t="str">
        <f>VLOOKUP(A33, user_table!$A:$F, 5, FALSE)</f>
        <v>Mobile</v>
      </c>
      <c r="E33" t="str">
        <f>VLOOKUP(A33, user_table!$A:$F, 6, FALSE)</f>
        <v>Paid</v>
      </c>
    </row>
    <row r="34" spans="1:5">
      <c r="A34">
        <v>1395</v>
      </c>
      <c r="B34" s="2">
        <v>45362.413888888892</v>
      </c>
      <c r="C34" t="str">
        <f>VLOOKUP(A34, user_table!$A:$B, 2, FALSE)</f>
        <v>Male</v>
      </c>
      <c r="D34" t="str">
        <f>VLOOKUP(A34, user_table!$A:$F, 5, FALSE)</f>
        <v>Mobile</v>
      </c>
      <c r="E34" t="str">
        <f>VLOOKUP(A34, user_table!$A:$F, 6, FALSE)</f>
        <v>Email</v>
      </c>
    </row>
    <row r="35" spans="1:5">
      <c r="A35">
        <v>1979</v>
      </c>
      <c r="B35" s="2">
        <v>45348.022916666669</v>
      </c>
      <c r="C35" t="str">
        <f>VLOOKUP(A35, user_table!$A:$B, 2, FALSE)</f>
        <v>Male</v>
      </c>
      <c r="D35" t="str">
        <f>VLOOKUP(A35, user_table!$A:$F, 5, FALSE)</f>
        <v>Desktop</v>
      </c>
      <c r="E35" t="str">
        <f>VLOOKUP(A35, user_table!$A:$F, 6, FALSE)</f>
        <v>Direct</v>
      </c>
    </row>
    <row r="36" spans="1:5">
      <c r="A36">
        <v>1485</v>
      </c>
      <c r="B36" s="2">
        <v>45307.01666666667</v>
      </c>
      <c r="C36" t="str">
        <f>VLOOKUP(A36, user_table!$A:$B, 2, FALSE)</f>
        <v>Female</v>
      </c>
      <c r="D36" t="str">
        <f>VLOOKUP(A36, user_table!$A:$F, 5, FALSE)</f>
        <v>Tablet</v>
      </c>
      <c r="E36" t="str">
        <f>VLOOKUP(A36, user_table!$A:$F, 6, FALSE)</f>
        <v>Organic</v>
      </c>
    </row>
    <row r="37" spans="1:5">
      <c r="A37">
        <v>1400</v>
      </c>
      <c r="B37" s="2">
        <v>45312.070833333331</v>
      </c>
      <c r="C37" t="str">
        <f>VLOOKUP(A37, user_table!$A:$B, 2, FALSE)</f>
        <v>Female</v>
      </c>
      <c r="D37" t="str">
        <f>VLOOKUP(A37, user_table!$A:$F, 5, FALSE)</f>
        <v>Desktop</v>
      </c>
      <c r="E37" t="str">
        <f>VLOOKUP(A37, user_table!$A:$F, 6, FALSE)</f>
        <v>Organic</v>
      </c>
    </row>
    <row r="38" spans="1:5">
      <c r="A38">
        <v>1167</v>
      </c>
      <c r="B38" s="2">
        <v>45301.261805555558</v>
      </c>
      <c r="C38" t="str">
        <f>VLOOKUP(A38, user_table!$A:$B, 2, FALSE)</f>
        <v>Male</v>
      </c>
      <c r="D38" t="str">
        <f>VLOOKUP(A38, user_table!$A:$F, 5, FALSE)</f>
        <v>Desktop</v>
      </c>
      <c r="E38" t="str">
        <f>VLOOKUP(A38, user_table!$A:$F, 6, FALSE)</f>
        <v>Email</v>
      </c>
    </row>
    <row r="39" spans="1:5">
      <c r="A39">
        <v>1170</v>
      </c>
      <c r="B39" s="2">
        <v>45314.404861111114</v>
      </c>
      <c r="C39" t="str">
        <f>VLOOKUP(A39, user_table!$A:$B, 2, FALSE)</f>
        <v>Female</v>
      </c>
      <c r="D39" t="str">
        <f>VLOOKUP(A39, user_table!$A:$F, 5, FALSE)</f>
        <v>Mobile</v>
      </c>
      <c r="E39" t="str">
        <f>VLOOKUP(A39, user_table!$A:$F, 6, FALSE)</f>
        <v>Email</v>
      </c>
    </row>
    <row r="40" spans="1:5">
      <c r="A40">
        <v>1144</v>
      </c>
      <c r="B40" s="2">
        <v>45326.203472222223</v>
      </c>
      <c r="C40" t="str">
        <f>VLOOKUP(A40, user_table!$A:$B, 2, FALSE)</f>
        <v>Male</v>
      </c>
      <c r="D40" t="str">
        <f>VLOOKUP(A40, user_table!$A:$F, 5, FALSE)</f>
        <v>Tablet</v>
      </c>
      <c r="E40" t="str">
        <f>VLOOKUP(A40, user_table!$A:$F, 6, FALSE)</f>
        <v>Direct</v>
      </c>
    </row>
    <row r="41" spans="1:5">
      <c r="A41">
        <v>1656</v>
      </c>
      <c r="B41" s="2">
        <v>45301.951388888891</v>
      </c>
      <c r="C41" t="str">
        <f>VLOOKUP(A41, user_table!$A:$B, 2, FALSE)</f>
        <v>Male</v>
      </c>
      <c r="D41" t="str">
        <f>VLOOKUP(A41, user_table!$A:$F, 5, FALSE)</f>
        <v>Desktop</v>
      </c>
      <c r="E41" t="str">
        <f>VLOOKUP(A41, user_table!$A:$F, 6, FALSE)</f>
        <v>Organic</v>
      </c>
    </row>
    <row r="42" spans="1:5">
      <c r="A42">
        <v>1543</v>
      </c>
      <c r="B42" s="2">
        <v>45331.283333333333</v>
      </c>
      <c r="C42" t="str">
        <f>VLOOKUP(A42, user_table!$A:$B, 2, FALSE)</f>
        <v>Male</v>
      </c>
      <c r="D42" t="str">
        <f>VLOOKUP(A42, user_table!$A:$F, 5, FALSE)</f>
        <v>Mobile</v>
      </c>
      <c r="E42" t="str">
        <f>VLOOKUP(A42, user_table!$A:$F, 6, FALSE)</f>
        <v>Organic</v>
      </c>
    </row>
    <row r="43" spans="1:5">
      <c r="A43">
        <v>1971</v>
      </c>
      <c r="B43" s="2">
        <v>45363.056944444441</v>
      </c>
      <c r="C43" t="str">
        <f>VLOOKUP(A43, user_table!$A:$B, 2, FALSE)</f>
        <v>Female</v>
      </c>
      <c r="D43" t="str">
        <f>VLOOKUP(A43, user_table!$A:$F, 5, FALSE)</f>
        <v>Desktop</v>
      </c>
      <c r="E43" t="str">
        <f>VLOOKUP(A43, user_table!$A:$F, 6, FALSE)</f>
        <v>Email</v>
      </c>
    </row>
    <row r="44" spans="1:5">
      <c r="A44">
        <v>1592</v>
      </c>
      <c r="B44" s="2">
        <v>45351.152083333334</v>
      </c>
      <c r="C44" t="str">
        <f>VLOOKUP(A44, user_table!$A:$B, 2, FALSE)</f>
        <v>Female</v>
      </c>
      <c r="D44" t="str">
        <f>VLOOKUP(A44, user_table!$A:$F, 5, FALSE)</f>
        <v>Desktop</v>
      </c>
      <c r="E44" t="str">
        <f>VLOOKUP(A44, user_table!$A:$F, 6, FALSE)</f>
        <v>Paid</v>
      </c>
    </row>
    <row r="45" spans="1:5">
      <c r="A45">
        <v>1914</v>
      </c>
      <c r="B45" s="2">
        <v>45380.982638888891</v>
      </c>
      <c r="C45" t="str">
        <f>VLOOKUP(A45, user_table!$A:$B, 2, FALSE)</f>
        <v>Male</v>
      </c>
      <c r="D45" t="str">
        <f>VLOOKUP(A45, user_table!$A:$F, 5, FALSE)</f>
        <v>Desktop</v>
      </c>
      <c r="E45" t="str">
        <f>VLOOKUP(A45, user_table!$A:$F, 6, FALSE)</f>
        <v>Paid</v>
      </c>
    </row>
    <row r="46" spans="1:5">
      <c r="A46">
        <v>1617</v>
      </c>
      <c r="B46" s="2">
        <v>45322.986805555556</v>
      </c>
      <c r="C46" t="str">
        <f>VLOOKUP(A46, user_table!$A:$B, 2, FALSE)</f>
        <v>Male</v>
      </c>
      <c r="D46" t="str">
        <f>VLOOKUP(A46, user_table!$A:$F, 5, FALSE)</f>
        <v>Desktop</v>
      </c>
      <c r="E46" t="str">
        <f>VLOOKUP(A46, user_table!$A:$F, 6, FALSE)</f>
        <v>Organic</v>
      </c>
    </row>
    <row r="47" spans="1:5">
      <c r="A47">
        <v>1235</v>
      </c>
      <c r="B47" s="2">
        <v>45365.510416666664</v>
      </c>
      <c r="C47" t="str">
        <f>VLOOKUP(A47, user_table!$A:$B, 2, FALSE)</f>
        <v>Male</v>
      </c>
      <c r="D47" t="str">
        <f>VLOOKUP(A47, user_table!$A:$F, 5, FALSE)</f>
        <v>Mobile</v>
      </c>
      <c r="E47" t="str">
        <f>VLOOKUP(A47, user_table!$A:$F, 6, FALSE)</f>
        <v>Organic</v>
      </c>
    </row>
    <row r="48" spans="1:5">
      <c r="A48">
        <v>1396</v>
      </c>
      <c r="B48" s="2">
        <v>45359.929166666669</v>
      </c>
      <c r="C48" t="str">
        <f>VLOOKUP(A48, user_table!$A:$B, 2, FALSE)</f>
        <v>Female</v>
      </c>
      <c r="D48" t="str">
        <f>VLOOKUP(A48, user_table!$A:$F, 5, FALSE)</f>
        <v>Desktop</v>
      </c>
      <c r="E48" t="str">
        <f>VLOOKUP(A48, user_table!$A:$F, 6, FALSE)</f>
        <v>Organic</v>
      </c>
    </row>
    <row r="49" spans="1:5">
      <c r="A49">
        <v>1622</v>
      </c>
      <c r="B49" s="2">
        <v>45382.877083333333</v>
      </c>
      <c r="C49" t="str">
        <f>VLOOKUP(A49, user_table!$A:$B, 2, FALSE)</f>
        <v>Male</v>
      </c>
      <c r="D49" t="str">
        <f>VLOOKUP(A49, user_table!$A:$F, 5, FALSE)</f>
        <v>Tablet</v>
      </c>
      <c r="E49" t="str">
        <f>VLOOKUP(A49, user_table!$A:$F, 6, FALSE)</f>
        <v>Organic</v>
      </c>
    </row>
    <row r="50" spans="1:5">
      <c r="A50">
        <v>1255</v>
      </c>
      <c r="B50" s="2">
        <v>45342.518055555556</v>
      </c>
      <c r="C50" t="str">
        <f>VLOOKUP(A50, user_table!$A:$B, 2, FALSE)</f>
        <v>Male</v>
      </c>
      <c r="D50" t="str">
        <f>VLOOKUP(A50, user_table!$A:$F, 5, FALSE)</f>
        <v>Mobile</v>
      </c>
      <c r="E50" t="str">
        <f>VLOOKUP(A50, user_table!$A:$F, 6, FALSE)</f>
        <v>Social</v>
      </c>
    </row>
    <row r="51" spans="1:5">
      <c r="A51">
        <v>1780</v>
      </c>
      <c r="B51" s="2">
        <v>45381.440972222219</v>
      </c>
      <c r="C51" t="str">
        <f>VLOOKUP(A51, user_table!$A:$B, 2, FALSE)</f>
        <v>Female</v>
      </c>
      <c r="D51" t="str">
        <f>VLOOKUP(A51, user_table!$A:$F, 5, FALSE)</f>
        <v>Mobile</v>
      </c>
      <c r="E51" t="str">
        <f>VLOOKUP(A51, user_table!$A:$F, 6, FALSE)</f>
        <v>Email</v>
      </c>
    </row>
    <row r="52" spans="1:5">
      <c r="A52">
        <v>1135</v>
      </c>
      <c r="B52" s="2">
        <v>45300.032638888886</v>
      </c>
      <c r="C52" t="str">
        <f>VLOOKUP(A52, user_table!$A:$B, 2, FALSE)</f>
        <v>Female</v>
      </c>
      <c r="D52" t="str">
        <f>VLOOKUP(A52, user_table!$A:$F, 5, FALSE)</f>
        <v>Desktop</v>
      </c>
      <c r="E52" t="str">
        <f>VLOOKUP(A52, user_table!$A:$F, 6, FALSE)</f>
        <v>Paid</v>
      </c>
    </row>
    <row r="53" spans="1:5">
      <c r="A53">
        <v>1891</v>
      </c>
      <c r="B53" s="2">
        <v>45326.277083333334</v>
      </c>
      <c r="C53" t="str">
        <f>VLOOKUP(A53, user_table!$A:$B, 2, FALSE)</f>
        <v>Female</v>
      </c>
      <c r="D53" t="str">
        <f>VLOOKUP(A53, user_table!$A:$F, 5, FALSE)</f>
        <v>Mobile</v>
      </c>
      <c r="E53" t="str">
        <f>VLOOKUP(A53, user_table!$A:$F, 6, FALSE)</f>
        <v>Organic</v>
      </c>
    </row>
    <row r="54" spans="1:5">
      <c r="A54">
        <v>1071</v>
      </c>
      <c r="B54" s="2">
        <v>45350.331944444442</v>
      </c>
      <c r="C54" t="str">
        <f>VLOOKUP(A54, user_table!$A:$B, 2, FALSE)</f>
        <v>Female</v>
      </c>
      <c r="D54" t="str">
        <f>VLOOKUP(A54, user_table!$A:$F, 5, FALSE)</f>
        <v>Desktop</v>
      </c>
      <c r="E54" t="str">
        <f>VLOOKUP(A54, user_table!$A:$F, 6, FALSE)</f>
        <v>Paid</v>
      </c>
    </row>
    <row r="55" spans="1:5">
      <c r="A55">
        <v>1383</v>
      </c>
      <c r="B55" s="2">
        <v>45375.947916666664</v>
      </c>
      <c r="C55" t="str">
        <f>VLOOKUP(A55, user_table!$A:$B, 2, FALSE)</f>
        <v>Female</v>
      </c>
      <c r="D55" t="str">
        <f>VLOOKUP(A55, user_table!$A:$F, 5, FALSE)</f>
        <v>Mobile</v>
      </c>
      <c r="E55" t="str">
        <f>VLOOKUP(A55, user_table!$A:$F, 6, FALSE)</f>
        <v>Paid</v>
      </c>
    </row>
    <row r="56" spans="1:5">
      <c r="A56">
        <v>1037</v>
      </c>
      <c r="B56" s="2">
        <v>45376.491666666669</v>
      </c>
      <c r="C56" t="str">
        <f>VLOOKUP(A56, user_table!$A:$B, 2, FALSE)</f>
        <v>Male</v>
      </c>
      <c r="D56" t="str">
        <f>VLOOKUP(A56, user_table!$A:$F, 5, FALSE)</f>
        <v>Mobile</v>
      </c>
      <c r="E56" t="str">
        <f>VLOOKUP(A56, user_table!$A:$F, 6, FALSE)</f>
        <v>Direct</v>
      </c>
    </row>
    <row r="57" spans="1:5">
      <c r="A57">
        <v>1256</v>
      </c>
      <c r="B57" s="2">
        <v>45369.740972222222</v>
      </c>
      <c r="C57" t="str">
        <f>VLOOKUP(A57, user_table!$A:$B, 2, FALSE)</f>
        <v>Female</v>
      </c>
      <c r="D57" t="str">
        <f>VLOOKUP(A57, user_table!$A:$F, 5, FALSE)</f>
        <v>Mobile</v>
      </c>
      <c r="E57" t="str">
        <f>VLOOKUP(A57, user_table!$A:$F, 6, FALSE)</f>
        <v>Paid</v>
      </c>
    </row>
    <row r="58" spans="1:5">
      <c r="A58">
        <v>1195</v>
      </c>
      <c r="B58" s="2">
        <v>45371.28402777778</v>
      </c>
      <c r="C58" t="str">
        <f>VLOOKUP(A58, user_table!$A:$B, 2, FALSE)</f>
        <v>Male</v>
      </c>
      <c r="D58" t="str">
        <f>VLOOKUP(A58, user_table!$A:$F, 5, FALSE)</f>
        <v>Desktop</v>
      </c>
      <c r="E58" t="str">
        <f>VLOOKUP(A58, user_table!$A:$F, 6, FALSE)</f>
        <v>Paid</v>
      </c>
    </row>
    <row r="59" spans="1:5">
      <c r="A59">
        <v>1687</v>
      </c>
      <c r="B59" s="2">
        <v>45318.394444444442</v>
      </c>
      <c r="C59" t="str">
        <f>VLOOKUP(A59, user_table!$A:$B, 2, FALSE)</f>
        <v>Female</v>
      </c>
      <c r="D59" t="str">
        <f>VLOOKUP(A59, user_table!$A:$F, 5, FALSE)</f>
        <v>Desktop</v>
      </c>
      <c r="E59" t="str">
        <f>VLOOKUP(A59, user_table!$A:$F, 6, FALSE)</f>
        <v>Email</v>
      </c>
    </row>
    <row r="60" spans="1:5">
      <c r="A60">
        <v>1521</v>
      </c>
      <c r="B60" s="2">
        <v>45316.87777777778</v>
      </c>
      <c r="C60" t="str">
        <f>VLOOKUP(A60, user_table!$A:$B, 2, FALSE)</f>
        <v>Female</v>
      </c>
      <c r="D60" t="str">
        <f>VLOOKUP(A60, user_table!$A:$F, 5, FALSE)</f>
        <v>Desktop</v>
      </c>
      <c r="E60" t="str">
        <f>VLOOKUP(A60, user_table!$A:$F, 6, FALSE)</f>
        <v>Social</v>
      </c>
    </row>
    <row r="61" spans="1:5">
      <c r="A61">
        <v>1556</v>
      </c>
      <c r="B61" s="2">
        <v>45317.240972222222</v>
      </c>
      <c r="C61" t="str">
        <f>VLOOKUP(A61, user_table!$A:$B, 2, FALSE)</f>
        <v>Male</v>
      </c>
      <c r="D61" t="str">
        <f>VLOOKUP(A61, user_table!$A:$F, 5, FALSE)</f>
        <v>Desktop</v>
      </c>
      <c r="E61" t="str">
        <f>VLOOKUP(A61, user_table!$A:$F, 6, FALSE)</f>
        <v>Paid</v>
      </c>
    </row>
    <row r="62" spans="1:5">
      <c r="A62">
        <v>1461</v>
      </c>
      <c r="B62" s="2">
        <v>45359.14166666667</v>
      </c>
      <c r="C62" t="str">
        <f>VLOOKUP(A62, user_table!$A:$B, 2, FALSE)</f>
        <v>Male</v>
      </c>
      <c r="D62" t="str">
        <f>VLOOKUP(A62, user_table!$A:$F, 5, FALSE)</f>
        <v>Desktop</v>
      </c>
      <c r="E62" t="str">
        <f>VLOOKUP(A62, user_table!$A:$F, 6, FALSE)</f>
        <v>Social</v>
      </c>
    </row>
    <row r="63" spans="1:5">
      <c r="A63">
        <v>1688</v>
      </c>
      <c r="B63" s="2">
        <v>45299.553472222222</v>
      </c>
      <c r="C63" t="str">
        <f>VLOOKUP(A63, user_table!$A:$B, 2, FALSE)</f>
        <v>Male</v>
      </c>
      <c r="D63" t="str">
        <f>VLOOKUP(A63, user_table!$A:$F, 5, FALSE)</f>
        <v>Desktop</v>
      </c>
      <c r="E63" t="str">
        <f>VLOOKUP(A63, user_table!$A:$F, 6, FALSE)</f>
        <v>Social</v>
      </c>
    </row>
    <row r="64" spans="1:5">
      <c r="A64">
        <v>1109</v>
      </c>
      <c r="B64" s="2">
        <v>45365.338888888888</v>
      </c>
      <c r="C64" t="str">
        <f>VLOOKUP(A64, user_table!$A:$B, 2, FALSE)</f>
        <v>Male</v>
      </c>
      <c r="D64" t="str">
        <f>VLOOKUP(A64, user_table!$A:$F, 5, FALSE)</f>
        <v>Desktop</v>
      </c>
      <c r="E64" t="str">
        <f>VLOOKUP(A64, user_table!$A:$F, 6, FALSE)</f>
        <v>Paid</v>
      </c>
    </row>
    <row r="65" spans="1:5">
      <c r="A65">
        <v>1058</v>
      </c>
      <c r="B65" s="2">
        <v>45314.787499999999</v>
      </c>
      <c r="C65" t="str">
        <f>VLOOKUP(A65, user_table!$A:$B, 2, FALSE)</f>
        <v>Male</v>
      </c>
      <c r="D65" t="str">
        <f>VLOOKUP(A65, user_table!$A:$F, 5, FALSE)</f>
        <v>Desktop</v>
      </c>
      <c r="E65" t="str">
        <f>VLOOKUP(A65, user_table!$A:$F, 6, FALSE)</f>
        <v>Organic</v>
      </c>
    </row>
    <row r="66" spans="1:5">
      <c r="A66">
        <v>1261</v>
      </c>
      <c r="B66" s="2">
        <v>45326.01458333333</v>
      </c>
      <c r="C66" t="str">
        <f>VLOOKUP(A66, user_table!$A:$B, 2, FALSE)</f>
        <v>Female</v>
      </c>
      <c r="D66" t="str">
        <f>VLOOKUP(A66, user_table!$A:$F, 5, FALSE)</f>
        <v>Mobile</v>
      </c>
      <c r="E66" t="str">
        <f>VLOOKUP(A66, user_table!$A:$F, 6, FALSE)</f>
        <v>Email</v>
      </c>
    </row>
    <row r="67" spans="1:5">
      <c r="A67">
        <v>1716</v>
      </c>
      <c r="B67" s="2">
        <v>45353.957638888889</v>
      </c>
      <c r="C67" t="str">
        <f>VLOOKUP(A67, user_table!$A:$B, 2, FALSE)</f>
        <v>Female</v>
      </c>
      <c r="D67" t="str">
        <f>VLOOKUP(A67, user_table!$A:$F, 5, FALSE)</f>
        <v>Desktop</v>
      </c>
      <c r="E67" t="str">
        <f>VLOOKUP(A67, user_table!$A:$F, 6, FALSE)</f>
        <v>Email</v>
      </c>
    </row>
    <row r="68" spans="1:5">
      <c r="A68">
        <v>1304</v>
      </c>
      <c r="B68" s="2">
        <v>45313.04791666667</v>
      </c>
      <c r="C68" t="str">
        <f>VLOOKUP(A68, user_table!$A:$B, 2, FALSE)</f>
        <v>Female</v>
      </c>
      <c r="D68" t="str">
        <f>VLOOKUP(A68, user_table!$A:$F, 5, FALSE)</f>
        <v>Mobile</v>
      </c>
      <c r="E68" t="str">
        <f>VLOOKUP(A68, user_table!$A:$F, 6, FALSE)</f>
        <v>Email</v>
      </c>
    </row>
    <row r="69" spans="1:5">
      <c r="A69">
        <v>1026</v>
      </c>
      <c r="B69" s="2">
        <v>45335.793749999997</v>
      </c>
      <c r="C69" t="str">
        <f>VLOOKUP(A69, user_table!$A:$B, 2, FALSE)</f>
        <v>Female</v>
      </c>
      <c r="D69" t="str">
        <f>VLOOKUP(A69, user_table!$A:$F, 5, FALSE)</f>
        <v>Desktop</v>
      </c>
      <c r="E69" t="str">
        <f>VLOOKUP(A69, user_table!$A:$F, 6, FALSE)</f>
        <v>Paid</v>
      </c>
    </row>
    <row r="70" spans="1:5">
      <c r="A70">
        <v>1131</v>
      </c>
      <c r="B70" s="2">
        <v>45374.828472222223</v>
      </c>
      <c r="C70" t="str">
        <f>VLOOKUP(A70, user_table!$A:$B, 2, FALSE)</f>
        <v>Male</v>
      </c>
      <c r="D70" t="str">
        <f>VLOOKUP(A70, user_table!$A:$F, 5, FALSE)</f>
        <v>Mobile</v>
      </c>
      <c r="E70" t="str">
        <f>VLOOKUP(A70, user_table!$A:$F, 6, FALSE)</f>
        <v>Social</v>
      </c>
    </row>
    <row r="71" spans="1:5">
      <c r="A71">
        <v>1579</v>
      </c>
      <c r="B71" s="2">
        <v>45378.396527777775</v>
      </c>
      <c r="C71" t="str">
        <f>VLOOKUP(A71, user_table!$A:$B, 2, FALSE)</f>
        <v>Male</v>
      </c>
      <c r="D71" t="str">
        <f>VLOOKUP(A71, user_table!$A:$F, 5, FALSE)</f>
        <v>Desktop</v>
      </c>
      <c r="E71" t="str">
        <f>VLOOKUP(A71, user_table!$A:$F, 6, FALSE)</f>
        <v>Social</v>
      </c>
    </row>
    <row r="72" spans="1:5">
      <c r="A72">
        <v>1727</v>
      </c>
      <c r="B72" s="2">
        <v>45367.723611111112</v>
      </c>
      <c r="C72" t="str">
        <f>VLOOKUP(A72, user_table!$A:$B, 2, FALSE)</f>
        <v>Male</v>
      </c>
      <c r="D72" t="str">
        <f>VLOOKUP(A72, user_table!$A:$F, 5, FALSE)</f>
        <v>Desktop</v>
      </c>
      <c r="E72" t="str">
        <f>VLOOKUP(A72, user_table!$A:$F, 6, FALSE)</f>
        <v>Organic</v>
      </c>
    </row>
    <row r="73" spans="1:5">
      <c r="A73">
        <v>1308</v>
      </c>
      <c r="B73" s="2">
        <v>45303.930555555555</v>
      </c>
      <c r="C73" t="str">
        <f>VLOOKUP(A73, user_table!$A:$B, 2, FALSE)</f>
        <v>Male</v>
      </c>
      <c r="D73" t="str">
        <f>VLOOKUP(A73, user_table!$A:$F, 5, FALSE)</f>
        <v>Desktop</v>
      </c>
      <c r="E73" t="str">
        <f>VLOOKUP(A73, user_table!$A:$F, 6, FALSE)</f>
        <v>Paid</v>
      </c>
    </row>
    <row r="74" spans="1:5">
      <c r="A74">
        <v>1338</v>
      </c>
      <c r="B74" s="2">
        <v>45361.299305555556</v>
      </c>
      <c r="C74" t="str">
        <f>VLOOKUP(A74, user_table!$A:$B, 2, FALSE)</f>
        <v>Female</v>
      </c>
      <c r="D74" t="str">
        <f>VLOOKUP(A74, user_table!$A:$F, 5, FALSE)</f>
        <v>Tablet</v>
      </c>
      <c r="E74" t="str">
        <f>VLOOKUP(A74, user_table!$A:$F, 6, FALSE)</f>
        <v>Organic</v>
      </c>
    </row>
    <row r="75" spans="1:5">
      <c r="A75">
        <v>1368</v>
      </c>
      <c r="B75" s="2">
        <v>45360.118055555555</v>
      </c>
      <c r="C75" t="str">
        <f>VLOOKUP(A75, user_table!$A:$B, 2, FALSE)</f>
        <v>Female</v>
      </c>
      <c r="D75" t="str">
        <f>VLOOKUP(A75, user_table!$A:$F, 5, FALSE)</f>
        <v>Mobile</v>
      </c>
      <c r="E75" t="str">
        <f>VLOOKUP(A75, user_table!$A:$F, 6, FALSE)</f>
        <v>Paid</v>
      </c>
    </row>
    <row r="76" spans="1:5">
      <c r="A76">
        <v>1010</v>
      </c>
      <c r="B76" s="2">
        <v>45358.226388888892</v>
      </c>
      <c r="C76" t="str">
        <f>VLOOKUP(A76, user_table!$A:$B, 2, FALSE)</f>
        <v>Female</v>
      </c>
      <c r="D76" t="str">
        <f>VLOOKUP(A76, user_table!$A:$F, 5, FALSE)</f>
        <v>Desktop</v>
      </c>
      <c r="E76" t="str">
        <f>VLOOKUP(A76, user_table!$A:$F, 6, FALSE)</f>
        <v>Organic</v>
      </c>
    </row>
    <row r="77" spans="1:5">
      <c r="A77">
        <v>1001</v>
      </c>
      <c r="B77" s="2">
        <v>45363.725694444445</v>
      </c>
      <c r="C77" t="str">
        <f>VLOOKUP(A77, user_table!$A:$B, 2, FALSE)</f>
        <v>Male</v>
      </c>
      <c r="D77" t="str">
        <f>VLOOKUP(A77, user_table!$A:$F, 5, FALSE)</f>
        <v>Desktop</v>
      </c>
      <c r="E77" t="str">
        <f>VLOOKUP(A77, user_table!$A:$F, 6, FALSE)</f>
        <v>Organic</v>
      </c>
    </row>
    <row r="78" spans="1:5">
      <c r="A78">
        <v>1474</v>
      </c>
      <c r="B78" s="2">
        <v>45305.468055555553</v>
      </c>
      <c r="C78" t="str">
        <f>VLOOKUP(A78, user_table!$A:$B, 2, FALSE)</f>
        <v>Female</v>
      </c>
      <c r="D78" t="str">
        <f>VLOOKUP(A78, user_table!$A:$F, 5, FALSE)</f>
        <v>Mobile</v>
      </c>
      <c r="E78" t="str">
        <f>VLOOKUP(A78, user_table!$A:$F, 6, FALSE)</f>
        <v>Organic</v>
      </c>
    </row>
    <row r="79" spans="1:5">
      <c r="A79">
        <v>1955</v>
      </c>
      <c r="B79" s="2">
        <v>45321.88958333333</v>
      </c>
      <c r="C79" t="str">
        <f>VLOOKUP(A79, user_table!$A:$B, 2, FALSE)</f>
        <v>Male</v>
      </c>
      <c r="D79" t="str">
        <f>VLOOKUP(A79, user_table!$A:$F, 5, FALSE)</f>
        <v>Mobile</v>
      </c>
      <c r="E79" t="str">
        <f>VLOOKUP(A79, user_table!$A:$F, 6, FALSE)</f>
        <v>Email</v>
      </c>
    </row>
    <row r="80" spans="1:5">
      <c r="A80">
        <v>1379</v>
      </c>
      <c r="B80" s="2">
        <v>45336.470833333333</v>
      </c>
      <c r="C80" t="str">
        <f>VLOOKUP(A80, user_table!$A:$B, 2, FALSE)</f>
        <v>Female</v>
      </c>
      <c r="D80" t="str">
        <f>VLOOKUP(A80, user_table!$A:$F, 5, FALSE)</f>
        <v>Desktop</v>
      </c>
      <c r="E80" t="str">
        <f>VLOOKUP(A80, user_table!$A:$F, 6, FALSE)</f>
        <v>Email</v>
      </c>
    </row>
    <row r="81" spans="1:5">
      <c r="A81">
        <v>1408</v>
      </c>
      <c r="B81" s="2">
        <v>45321.814583333333</v>
      </c>
      <c r="C81" t="str">
        <f>VLOOKUP(A81, user_table!$A:$B, 2, FALSE)</f>
        <v>Male</v>
      </c>
      <c r="D81" t="str">
        <f>VLOOKUP(A81, user_table!$A:$F, 5, FALSE)</f>
        <v>Mobile</v>
      </c>
      <c r="E81" t="str">
        <f>VLOOKUP(A81, user_table!$A:$F, 6, FALSE)</f>
        <v>Email</v>
      </c>
    </row>
    <row r="82" spans="1:5">
      <c r="A82">
        <v>1603</v>
      </c>
      <c r="B82" s="2">
        <v>45354.744444444441</v>
      </c>
      <c r="C82" t="str">
        <f>VLOOKUP(A82, user_table!$A:$B, 2, FALSE)</f>
        <v>Male</v>
      </c>
      <c r="D82" t="str">
        <f>VLOOKUP(A82, user_table!$A:$F, 5, FALSE)</f>
        <v>Mobile</v>
      </c>
      <c r="E82" t="str">
        <f>VLOOKUP(A82, user_table!$A:$F, 6, FALSE)</f>
        <v>Social</v>
      </c>
    </row>
    <row r="83" spans="1:5">
      <c r="A83">
        <v>1676</v>
      </c>
      <c r="B83" s="2">
        <v>45377.004861111112</v>
      </c>
      <c r="C83" t="str">
        <f>VLOOKUP(A83, user_table!$A:$B, 2, FALSE)</f>
        <v>Female</v>
      </c>
      <c r="D83" t="str">
        <f>VLOOKUP(A83, user_table!$A:$F, 5, FALSE)</f>
        <v>Mobile</v>
      </c>
      <c r="E83" t="str">
        <f>VLOOKUP(A83, user_table!$A:$F, 6, FALSE)</f>
        <v>Direct</v>
      </c>
    </row>
    <row r="84" spans="1:5">
      <c r="A84">
        <v>1575</v>
      </c>
      <c r="B84" s="2">
        <v>45379.477777777778</v>
      </c>
      <c r="C84" t="str">
        <f>VLOOKUP(A84, user_table!$A:$B, 2, FALSE)</f>
        <v>Female</v>
      </c>
      <c r="D84" t="str">
        <f>VLOOKUP(A84, user_table!$A:$F, 5, FALSE)</f>
        <v>Desktop</v>
      </c>
      <c r="E84" t="str">
        <f>VLOOKUP(A84, user_table!$A:$F, 6, FALSE)</f>
        <v>Organic</v>
      </c>
    </row>
    <row r="85" spans="1:5">
      <c r="A85">
        <v>1220</v>
      </c>
      <c r="B85" s="2">
        <v>45324.86041666667</v>
      </c>
      <c r="C85" t="str">
        <f>VLOOKUP(A85, user_table!$A:$B, 2, FALSE)</f>
        <v>Female</v>
      </c>
      <c r="D85" t="str">
        <f>VLOOKUP(A85, user_table!$A:$F, 5, FALSE)</f>
        <v>Tablet</v>
      </c>
      <c r="E85" t="str">
        <f>VLOOKUP(A85, user_table!$A:$F, 6, FALSE)</f>
        <v>Social</v>
      </c>
    </row>
    <row r="86" spans="1:5">
      <c r="A86">
        <v>1691</v>
      </c>
      <c r="B86" s="2">
        <v>45373.293055555558</v>
      </c>
      <c r="C86" t="str">
        <f>VLOOKUP(A86, user_table!$A:$B, 2, FALSE)</f>
        <v>Male</v>
      </c>
      <c r="D86" t="str">
        <f>VLOOKUP(A86, user_table!$A:$F, 5, FALSE)</f>
        <v>Tablet</v>
      </c>
      <c r="E86" t="str">
        <f>VLOOKUP(A86, user_table!$A:$F, 6, FALSE)</f>
        <v>Paid</v>
      </c>
    </row>
    <row r="87" spans="1:5">
      <c r="A87">
        <v>1978</v>
      </c>
      <c r="B87" s="2">
        <v>45381.433333333334</v>
      </c>
      <c r="C87" t="str">
        <f>VLOOKUP(A87, user_table!$A:$B, 2, FALSE)</f>
        <v>Male</v>
      </c>
      <c r="D87" t="str">
        <f>VLOOKUP(A87, user_table!$A:$F, 5, FALSE)</f>
        <v>Desktop</v>
      </c>
      <c r="E87" t="str">
        <f>VLOOKUP(A87, user_table!$A:$F, 6, FALSE)</f>
        <v>Email</v>
      </c>
    </row>
    <row r="88" spans="1:5">
      <c r="A88">
        <v>1471</v>
      </c>
      <c r="B88" s="2">
        <v>45308.511111111111</v>
      </c>
      <c r="C88" t="str">
        <f>VLOOKUP(A88, user_table!$A:$B, 2, FALSE)</f>
        <v>Male</v>
      </c>
      <c r="D88" t="str">
        <f>VLOOKUP(A88, user_table!$A:$F, 5, FALSE)</f>
        <v>Tablet</v>
      </c>
      <c r="E88" t="str">
        <f>VLOOKUP(A88, user_table!$A:$F, 6, FALSE)</f>
        <v>Social</v>
      </c>
    </row>
    <row r="89" spans="1:5">
      <c r="A89">
        <v>1637</v>
      </c>
      <c r="B89" s="2">
        <v>45363.970833333333</v>
      </c>
      <c r="C89" t="str">
        <f>VLOOKUP(A89, user_table!$A:$B, 2, FALSE)</f>
        <v>Female</v>
      </c>
      <c r="D89" t="str">
        <f>VLOOKUP(A89, user_table!$A:$F, 5, FALSE)</f>
        <v>Desktop</v>
      </c>
      <c r="E89" t="str">
        <f>VLOOKUP(A89, user_table!$A:$F, 6, FALSE)</f>
        <v>Paid</v>
      </c>
    </row>
    <row r="90" spans="1:5">
      <c r="A90">
        <v>1301</v>
      </c>
      <c r="B90" s="2">
        <v>45297.702777777777</v>
      </c>
      <c r="C90" t="str">
        <f>VLOOKUP(A90, user_table!$A:$B, 2, FALSE)</f>
        <v>Male</v>
      </c>
      <c r="D90" t="str">
        <f>VLOOKUP(A90, user_table!$A:$F, 5, FALSE)</f>
        <v>Desktop</v>
      </c>
      <c r="E90" t="str">
        <f>VLOOKUP(A90, user_table!$A:$F, 6, FALSE)</f>
        <v>Organic</v>
      </c>
    </row>
    <row r="91" spans="1:5">
      <c r="A91">
        <v>1890</v>
      </c>
      <c r="B91" s="2">
        <v>45341.70208333333</v>
      </c>
      <c r="C91" t="str">
        <f>VLOOKUP(A91, user_table!$A:$B, 2, FALSE)</f>
        <v>Male</v>
      </c>
      <c r="D91" t="str">
        <f>VLOOKUP(A91, user_table!$A:$F, 5, FALSE)</f>
        <v>Desktop</v>
      </c>
      <c r="E91" t="str">
        <f>VLOOKUP(A91, user_table!$A:$F, 6, FALSE)</f>
        <v>Organic</v>
      </c>
    </row>
    <row r="92" spans="1:5">
      <c r="A92">
        <v>1650</v>
      </c>
      <c r="B92" s="2">
        <v>45359.604861111111</v>
      </c>
      <c r="C92" t="str">
        <f>VLOOKUP(A92, user_table!$A:$B, 2, FALSE)</f>
        <v>Male</v>
      </c>
      <c r="D92" t="str">
        <f>VLOOKUP(A92, user_table!$A:$F, 5, FALSE)</f>
        <v>Mobile</v>
      </c>
      <c r="E92" t="str">
        <f>VLOOKUP(A92, user_table!$A:$F, 6, FALSE)</f>
        <v>Direct</v>
      </c>
    </row>
    <row r="93" spans="1:5">
      <c r="A93">
        <v>1887</v>
      </c>
      <c r="B93" s="2">
        <v>45299.414583333331</v>
      </c>
      <c r="C93" t="str">
        <f>VLOOKUP(A93, user_table!$A:$B, 2, FALSE)</f>
        <v>Female</v>
      </c>
      <c r="D93" t="str">
        <f>VLOOKUP(A93, user_table!$A:$F, 5, FALSE)</f>
        <v>Desktop</v>
      </c>
      <c r="E93" t="str">
        <f>VLOOKUP(A93, user_table!$A:$F, 6, FALSE)</f>
        <v>Social</v>
      </c>
    </row>
    <row r="94" spans="1:5">
      <c r="A94">
        <v>1073</v>
      </c>
      <c r="B94" s="2">
        <v>45377.263888888891</v>
      </c>
      <c r="C94" t="str">
        <f>VLOOKUP(A94, user_table!$A:$B, 2, FALSE)</f>
        <v>Male</v>
      </c>
      <c r="D94" t="str">
        <f>VLOOKUP(A94, user_table!$A:$F, 5, FALSE)</f>
        <v>Tablet</v>
      </c>
      <c r="E94" t="str">
        <f>VLOOKUP(A94, user_table!$A:$F, 6, FALSE)</f>
        <v>Organic</v>
      </c>
    </row>
    <row r="95" spans="1:5">
      <c r="A95">
        <v>1754</v>
      </c>
      <c r="B95" s="2">
        <v>45359.087500000001</v>
      </c>
      <c r="C95" t="str">
        <f>VLOOKUP(A95, user_table!$A:$B, 2, FALSE)</f>
        <v>Male</v>
      </c>
      <c r="D95" t="str">
        <f>VLOOKUP(A95, user_table!$A:$F, 5, FALSE)</f>
        <v>Mobile</v>
      </c>
      <c r="E95" t="str">
        <f>VLOOKUP(A95, user_table!$A:$F, 6, FALSE)</f>
        <v>Paid</v>
      </c>
    </row>
    <row r="96" spans="1:5">
      <c r="A96">
        <v>1690</v>
      </c>
      <c r="B96" s="2">
        <v>45315.731944444444</v>
      </c>
      <c r="C96" t="str">
        <f>VLOOKUP(A96, user_table!$A:$B, 2, FALSE)</f>
        <v>Male</v>
      </c>
      <c r="D96" t="str">
        <f>VLOOKUP(A96, user_table!$A:$F, 5, FALSE)</f>
        <v>Desktop</v>
      </c>
      <c r="E96" t="str">
        <f>VLOOKUP(A96, user_table!$A:$F, 6, FALSE)</f>
        <v>Social</v>
      </c>
    </row>
    <row r="97" spans="1:5">
      <c r="A97">
        <v>1774</v>
      </c>
      <c r="B97" s="2">
        <v>45294.836111111108</v>
      </c>
      <c r="C97" t="str">
        <f>VLOOKUP(A97, user_table!$A:$B, 2, FALSE)</f>
        <v>Male</v>
      </c>
      <c r="D97" t="str">
        <f>VLOOKUP(A97, user_table!$A:$F, 5, FALSE)</f>
        <v>Desktop</v>
      </c>
      <c r="E97" t="str">
        <f>VLOOKUP(A97, user_table!$A:$F, 6, FALSE)</f>
        <v>Organic</v>
      </c>
    </row>
    <row r="98" spans="1:5">
      <c r="A98">
        <v>1871</v>
      </c>
      <c r="B98" s="2">
        <v>45320.902777777781</v>
      </c>
      <c r="C98" t="str">
        <f>VLOOKUP(A98, user_table!$A:$B, 2, FALSE)</f>
        <v>Male</v>
      </c>
      <c r="D98" t="str">
        <f>VLOOKUP(A98, user_table!$A:$F, 5, FALSE)</f>
        <v>Desktop</v>
      </c>
      <c r="E98" t="str">
        <f>VLOOKUP(A98, user_table!$A:$F, 6, FALSE)</f>
        <v>Organic</v>
      </c>
    </row>
    <row r="99" spans="1:5">
      <c r="A99">
        <v>1060</v>
      </c>
      <c r="B99" s="2">
        <v>45321.893750000003</v>
      </c>
      <c r="C99" t="str">
        <f>VLOOKUP(A99, user_table!$A:$B, 2, FALSE)</f>
        <v>Male</v>
      </c>
      <c r="D99" t="str">
        <f>VLOOKUP(A99, user_table!$A:$F, 5, FALSE)</f>
        <v>Mobile</v>
      </c>
      <c r="E99" t="str">
        <f>VLOOKUP(A99, user_table!$A:$F, 6, FALSE)</f>
        <v>Email</v>
      </c>
    </row>
    <row r="100" spans="1:5">
      <c r="A100">
        <v>1924</v>
      </c>
      <c r="B100" s="2">
        <v>45307.273611111108</v>
      </c>
      <c r="C100" t="str">
        <f>VLOOKUP(A100, user_table!$A:$B, 2, FALSE)</f>
        <v>Female</v>
      </c>
      <c r="D100" t="str">
        <f>VLOOKUP(A100, user_table!$A:$F, 5, FALSE)</f>
        <v>Desktop</v>
      </c>
      <c r="E100" t="str">
        <f>VLOOKUP(A100, user_table!$A:$F, 6, FALSE)</f>
        <v>Direct</v>
      </c>
    </row>
    <row r="101" spans="1:5">
      <c r="A101">
        <v>1823</v>
      </c>
      <c r="B101" s="2">
        <v>45383.992361111108</v>
      </c>
      <c r="C101" t="str">
        <f>VLOOKUP(A101, user_table!$A:$B, 2, FALSE)</f>
        <v>Male</v>
      </c>
      <c r="D101" t="str">
        <f>VLOOKUP(A101, user_table!$A:$F, 5, FALSE)</f>
        <v>Mobile</v>
      </c>
      <c r="E101" t="str">
        <f>VLOOKUP(A101, user_table!$A:$F, 6, FALSE)</f>
        <v>Organic</v>
      </c>
    </row>
    <row r="102" spans="1:5">
      <c r="A102">
        <v>1083</v>
      </c>
      <c r="B102" s="2">
        <v>45349.869444444441</v>
      </c>
      <c r="C102" t="str">
        <f>VLOOKUP(A102, user_table!$A:$B, 2, FALSE)</f>
        <v>Male</v>
      </c>
      <c r="D102" t="str">
        <f>VLOOKUP(A102, user_table!$A:$F, 5, FALSE)</f>
        <v>Mobile</v>
      </c>
      <c r="E102" t="str">
        <f>VLOOKUP(A102, user_table!$A:$F, 6, FALSE)</f>
        <v>Organic</v>
      </c>
    </row>
    <row r="103" spans="1:5">
      <c r="A103">
        <v>1463</v>
      </c>
      <c r="B103" s="2">
        <v>45303.988194444442</v>
      </c>
      <c r="C103" t="str">
        <f>VLOOKUP(A103, user_table!$A:$B, 2, FALSE)</f>
        <v>Female</v>
      </c>
      <c r="D103" t="str">
        <f>VLOOKUP(A103, user_table!$A:$F, 5, FALSE)</f>
        <v>Mobile</v>
      </c>
      <c r="E103" t="str">
        <f>VLOOKUP(A103, user_table!$A:$F, 6, FALSE)</f>
        <v>Email</v>
      </c>
    </row>
    <row r="104" spans="1:5">
      <c r="A104">
        <v>1783</v>
      </c>
      <c r="B104" s="2">
        <v>45313.020138888889</v>
      </c>
      <c r="C104" t="str">
        <f>VLOOKUP(A104, user_table!$A:$B, 2, FALSE)</f>
        <v>Male</v>
      </c>
      <c r="D104" t="str">
        <f>VLOOKUP(A104, user_table!$A:$F, 5, FALSE)</f>
        <v>Tablet</v>
      </c>
      <c r="E104" t="str">
        <f>VLOOKUP(A104, user_table!$A:$F, 6, FALSE)</f>
        <v>Paid</v>
      </c>
    </row>
    <row r="105" spans="1:5">
      <c r="A105">
        <v>1110</v>
      </c>
      <c r="B105" s="2">
        <v>45336.045138888891</v>
      </c>
      <c r="C105" t="str">
        <f>VLOOKUP(A105, user_table!$A:$B, 2, FALSE)</f>
        <v>Male</v>
      </c>
      <c r="D105" t="str">
        <f>VLOOKUP(A105, user_table!$A:$F, 5, FALSE)</f>
        <v>Desktop</v>
      </c>
      <c r="E105" t="str">
        <f>VLOOKUP(A105, user_table!$A:$F, 6, FALSE)</f>
        <v>Direct</v>
      </c>
    </row>
    <row r="106" spans="1:5">
      <c r="A106">
        <v>1527</v>
      </c>
      <c r="B106" s="2">
        <v>45303.049305555556</v>
      </c>
      <c r="C106" t="str">
        <f>VLOOKUP(A106, user_table!$A:$B, 2, FALSE)</f>
        <v>Male</v>
      </c>
      <c r="D106" t="str">
        <f>VLOOKUP(A106, user_table!$A:$F, 5, FALSE)</f>
        <v>Mobile</v>
      </c>
      <c r="E106" t="str">
        <f>VLOOKUP(A106, user_table!$A:$F, 6, FALSE)</f>
        <v>Social</v>
      </c>
    </row>
    <row r="107" spans="1:5">
      <c r="A107">
        <v>1866</v>
      </c>
      <c r="B107" s="2">
        <v>45326.711111111108</v>
      </c>
      <c r="C107" t="str">
        <f>VLOOKUP(A107, user_table!$A:$B, 2, FALSE)</f>
        <v>Female</v>
      </c>
      <c r="D107" t="str">
        <f>VLOOKUP(A107, user_table!$A:$F, 5, FALSE)</f>
        <v>Mobile</v>
      </c>
      <c r="E107" t="str">
        <f>VLOOKUP(A107, user_table!$A:$F, 6, FALSE)</f>
        <v>Direct</v>
      </c>
    </row>
    <row r="108" spans="1:5">
      <c r="A108">
        <v>1234</v>
      </c>
      <c r="B108" s="2">
        <v>45367.331944444442</v>
      </c>
      <c r="C108" t="str">
        <f>VLOOKUP(A108, user_table!$A:$B, 2, FALSE)</f>
        <v>Male</v>
      </c>
      <c r="D108" t="str">
        <f>VLOOKUP(A108, user_table!$A:$F, 5, FALSE)</f>
        <v>Tablet</v>
      </c>
      <c r="E108" t="str">
        <f>VLOOKUP(A108, user_table!$A:$F, 6, FALSE)</f>
        <v>Email</v>
      </c>
    </row>
    <row r="109" spans="1:5">
      <c r="A109">
        <v>1041</v>
      </c>
      <c r="B109" s="2">
        <v>45327.558333333334</v>
      </c>
      <c r="C109" t="str">
        <f>VLOOKUP(A109, user_table!$A:$B, 2, FALSE)</f>
        <v>Male</v>
      </c>
      <c r="D109" t="str">
        <f>VLOOKUP(A109, user_table!$A:$F, 5, FALSE)</f>
        <v>Desktop</v>
      </c>
      <c r="E109" t="str">
        <f>VLOOKUP(A109, user_table!$A:$F, 6, FALSE)</f>
        <v>Paid</v>
      </c>
    </row>
    <row r="110" spans="1:5">
      <c r="A110">
        <v>1904</v>
      </c>
      <c r="B110" s="2">
        <v>45351.850694444445</v>
      </c>
      <c r="C110" t="str">
        <f>VLOOKUP(A110, user_table!$A:$B, 2, FALSE)</f>
        <v>Female</v>
      </c>
      <c r="D110" t="str">
        <f>VLOOKUP(A110, user_table!$A:$F, 5, FALSE)</f>
        <v>Mobile</v>
      </c>
      <c r="E110" t="str">
        <f>VLOOKUP(A110, user_table!$A:$F, 6, FALSE)</f>
        <v>Email</v>
      </c>
    </row>
    <row r="111" spans="1:5">
      <c r="A111">
        <v>1496</v>
      </c>
      <c r="B111" s="2">
        <v>45349.417361111111</v>
      </c>
      <c r="C111" t="str">
        <f>VLOOKUP(A111, user_table!$A:$B, 2, FALSE)</f>
        <v>Male</v>
      </c>
      <c r="D111" t="str">
        <f>VLOOKUP(A111, user_table!$A:$F, 5, FALSE)</f>
        <v>Desktop</v>
      </c>
      <c r="E111" t="str">
        <f>VLOOKUP(A111, user_table!$A:$F, 6, FALSE)</f>
        <v>Email</v>
      </c>
    </row>
    <row r="112" spans="1:5">
      <c r="A112">
        <v>1088</v>
      </c>
      <c r="B112" s="2">
        <v>45343.879861111112</v>
      </c>
      <c r="C112" t="str">
        <f>VLOOKUP(A112, user_table!$A:$B, 2, FALSE)</f>
        <v>Female</v>
      </c>
      <c r="D112" t="str">
        <f>VLOOKUP(A112, user_table!$A:$F, 5, FALSE)</f>
        <v>Mobile</v>
      </c>
      <c r="E112" t="str">
        <f>VLOOKUP(A112, user_table!$A:$F, 6, FALSE)</f>
        <v>Email</v>
      </c>
    </row>
    <row r="113" spans="1:5">
      <c r="A113">
        <v>1068</v>
      </c>
      <c r="B113" s="2">
        <v>45362.02847222222</v>
      </c>
      <c r="C113" t="str">
        <f>VLOOKUP(A113, user_table!$A:$B, 2, FALSE)</f>
        <v>Female</v>
      </c>
      <c r="D113" t="str">
        <f>VLOOKUP(A113, user_table!$A:$F, 5, FALSE)</f>
        <v>Desktop</v>
      </c>
      <c r="E113" t="str">
        <f>VLOOKUP(A113, user_table!$A:$F, 6, FALSE)</f>
        <v>Social</v>
      </c>
    </row>
    <row r="114" spans="1:5">
      <c r="A114">
        <v>1111</v>
      </c>
      <c r="B114" s="2">
        <v>45373.116666666669</v>
      </c>
      <c r="C114" t="str">
        <f>VLOOKUP(A114, user_table!$A:$B, 2, FALSE)</f>
        <v>Male</v>
      </c>
      <c r="D114" t="str">
        <f>VLOOKUP(A114, user_table!$A:$F, 5, FALSE)</f>
        <v>Mobile</v>
      </c>
      <c r="E114" t="str">
        <f>VLOOKUP(A114, user_table!$A:$F, 6, FALSE)</f>
        <v>Paid</v>
      </c>
    </row>
    <row r="115" spans="1:5">
      <c r="A115">
        <v>1842</v>
      </c>
      <c r="B115" s="2">
        <v>45368.072222222225</v>
      </c>
      <c r="C115" t="str">
        <f>VLOOKUP(A115, user_table!$A:$B, 2, FALSE)</f>
        <v>Female</v>
      </c>
      <c r="D115" t="str">
        <f>VLOOKUP(A115, user_table!$A:$F, 5, FALSE)</f>
        <v>Desktop</v>
      </c>
      <c r="E115" t="str">
        <f>VLOOKUP(A115, user_table!$A:$F, 6, FALSE)</f>
        <v>Organic</v>
      </c>
    </row>
    <row r="116" spans="1:5">
      <c r="A116">
        <v>1198</v>
      </c>
      <c r="B116" s="2">
        <v>45303.499305555553</v>
      </c>
      <c r="C116" t="str">
        <f>VLOOKUP(A116, user_table!$A:$B, 2, FALSE)</f>
        <v>Female</v>
      </c>
      <c r="D116" t="str">
        <f>VLOOKUP(A116, user_table!$A:$F, 5, FALSE)</f>
        <v>Desktop</v>
      </c>
      <c r="E116" t="str">
        <f>VLOOKUP(A116, user_table!$A:$F, 6, FALSE)</f>
        <v>Email</v>
      </c>
    </row>
    <row r="117" spans="1:5">
      <c r="A117">
        <v>1990</v>
      </c>
      <c r="B117" s="2">
        <v>45358.137499999997</v>
      </c>
      <c r="C117" t="str">
        <f>VLOOKUP(A117, user_table!$A:$B, 2, FALSE)</f>
        <v>Female</v>
      </c>
      <c r="D117" t="str">
        <f>VLOOKUP(A117, user_table!$A:$F, 5, FALSE)</f>
        <v>Desktop</v>
      </c>
      <c r="E117" t="str">
        <f>VLOOKUP(A117, user_table!$A:$F, 6, FALSE)</f>
        <v>Social</v>
      </c>
    </row>
    <row r="118" spans="1:5">
      <c r="A118">
        <v>1659</v>
      </c>
      <c r="B118" s="2">
        <v>45381.401388888888</v>
      </c>
      <c r="C118" t="str">
        <f>VLOOKUP(A118, user_table!$A:$B, 2, FALSE)</f>
        <v>Female</v>
      </c>
      <c r="D118" t="str">
        <f>VLOOKUP(A118, user_table!$A:$F, 5, FALSE)</f>
        <v>Mobile</v>
      </c>
      <c r="E118" t="str">
        <f>VLOOKUP(A118, user_table!$A:$F, 6, FALSE)</f>
        <v>Social</v>
      </c>
    </row>
    <row r="119" spans="1:5">
      <c r="A119">
        <v>1860</v>
      </c>
      <c r="B119" s="2">
        <v>45305.408333333333</v>
      </c>
      <c r="C119" t="str">
        <f>VLOOKUP(A119, user_table!$A:$B, 2, FALSE)</f>
        <v>Male</v>
      </c>
      <c r="D119" t="str">
        <f>VLOOKUP(A119, user_table!$A:$F, 5, FALSE)</f>
        <v>Desktop</v>
      </c>
      <c r="E119" t="str">
        <f>VLOOKUP(A119, user_table!$A:$F, 6, FALSE)</f>
        <v>Social</v>
      </c>
    </row>
    <row r="120" spans="1:5">
      <c r="A120">
        <v>1341</v>
      </c>
      <c r="B120" s="2">
        <v>45350.517361111109</v>
      </c>
      <c r="C120" t="str">
        <f>VLOOKUP(A120, user_table!$A:$B, 2, FALSE)</f>
        <v>Male</v>
      </c>
      <c r="D120" t="str">
        <f>VLOOKUP(A120, user_table!$A:$F, 5, FALSE)</f>
        <v>Desktop</v>
      </c>
      <c r="E120" t="str">
        <f>VLOOKUP(A120, user_table!$A:$F, 6, FALSE)</f>
        <v>Email</v>
      </c>
    </row>
    <row r="121" spans="1:5">
      <c r="A121">
        <v>1568</v>
      </c>
      <c r="B121" s="2">
        <v>45378.020833333336</v>
      </c>
      <c r="C121" t="str">
        <f>VLOOKUP(A121, user_table!$A:$B, 2, FALSE)</f>
        <v>Male</v>
      </c>
      <c r="D121" t="str">
        <f>VLOOKUP(A121, user_table!$A:$F, 5, FALSE)</f>
        <v>Desktop</v>
      </c>
      <c r="E121" t="str">
        <f>VLOOKUP(A121, user_table!$A:$F, 6, FALSE)</f>
        <v>Organic</v>
      </c>
    </row>
    <row r="122" spans="1:5">
      <c r="A122">
        <v>1707</v>
      </c>
      <c r="B122" s="2">
        <v>45314.718055555553</v>
      </c>
      <c r="C122" t="str">
        <f>VLOOKUP(A122, user_table!$A:$B, 2, FALSE)</f>
        <v>Male</v>
      </c>
      <c r="D122" t="str">
        <f>VLOOKUP(A122, user_table!$A:$F, 5, FALSE)</f>
        <v>Desktop</v>
      </c>
      <c r="E122" t="str">
        <f>VLOOKUP(A122, user_table!$A:$F, 6, FALSE)</f>
        <v>Organic</v>
      </c>
    </row>
    <row r="123" spans="1:5">
      <c r="A123">
        <v>1718</v>
      </c>
      <c r="B123" s="2">
        <v>45311.975694444445</v>
      </c>
      <c r="C123" t="str">
        <f>VLOOKUP(A123, user_table!$A:$B, 2, FALSE)</f>
        <v>Female</v>
      </c>
      <c r="D123" t="str">
        <f>VLOOKUP(A123, user_table!$A:$F, 5, FALSE)</f>
        <v>Mobile</v>
      </c>
      <c r="E123" t="str">
        <f>VLOOKUP(A123, user_table!$A:$F, 6, FALSE)</f>
        <v>Paid</v>
      </c>
    </row>
    <row r="124" spans="1:5">
      <c r="A124">
        <v>1787</v>
      </c>
      <c r="B124" s="2">
        <v>45363.402777777781</v>
      </c>
      <c r="C124" t="str">
        <f>VLOOKUP(A124, user_table!$A:$B, 2, FALSE)</f>
        <v>Female</v>
      </c>
      <c r="D124" t="str">
        <f>VLOOKUP(A124, user_table!$A:$F, 5, FALSE)</f>
        <v>Mobile</v>
      </c>
      <c r="E124" t="str">
        <f>VLOOKUP(A124, user_table!$A:$F, 6, FALSE)</f>
        <v>Paid</v>
      </c>
    </row>
    <row r="125" spans="1:5">
      <c r="A125">
        <v>1406</v>
      </c>
      <c r="B125" s="2">
        <v>45312.404861111114</v>
      </c>
      <c r="C125" t="str">
        <f>VLOOKUP(A125, user_table!$A:$B, 2, FALSE)</f>
        <v>Female</v>
      </c>
      <c r="D125" t="str">
        <f>VLOOKUP(A125, user_table!$A:$F, 5, FALSE)</f>
        <v>Tablet</v>
      </c>
      <c r="E125" t="str">
        <f>VLOOKUP(A125, user_table!$A:$F, 6, FALSE)</f>
        <v>Direct</v>
      </c>
    </row>
    <row r="126" spans="1:5">
      <c r="A126">
        <v>1246</v>
      </c>
      <c r="B126" s="2">
        <v>45376.458333333336</v>
      </c>
      <c r="C126" t="str">
        <f>VLOOKUP(A126, user_table!$A:$B, 2, FALSE)</f>
        <v>Female</v>
      </c>
      <c r="D126" t="str">
        <f>VLOOKUP(A126, user_table!$A:$F, 5, FALSE)</f>
        <v>Desktop</v>
      </c>
      <c r="E126" t="str">
        <f>VLOOKUP(A126, user_table!$A:$F, 6, FALSE)</f>
        <v>Paid</v>
      </c>
    </row>
    <row r="127" spans="1:5">
      <c r="A127">
        <v>1778</v>
      </c>
      <c r="B127" s="2">
        <v>45364.714583333334</v>
      </c>
      <c r="C127" t="str">
        <f>VLOOKUP(A127, user_table!$A:$B, 2, FALSE)</f>
        <v>Female</v>
      </c>
      <c r="D127" t="str">
        <f>VLOOKUP(A127, user_table!$A:$F, 5, FALSE)</f>
        <v>Tablet</v>
      </c>
      <c r="E127" t="str">
        <f>VLOOKUP(A127, user_table!$A:$F, 6, FALSE)</f>
        <v>Organic</v>
      </c>
    </row>
    <row r="128" spans="1:5">
      <c r="A128">
        <v>1806</v>
      </c>
      <c r="B128" s="2">
        <v>45309.041666666664</v>
      </c>
      <c r="C128" t="str">
        <f>VLOOKUP(A128, user_table!$A:$B, 2, FALSE)</f>
        <v>Female</v>
      </c>
      <c r="D128" t="str">
        <f>VLOOKUP(A128, user_table!$A:$F, 5, FALSE)</f>
        <v>Mobile</v>
      </c>
      <c r="E128" t="str">
        <f>VLOOKUP(A128, user_table!$A:$F, 6, FALSE)</f>
        <v>Organic</v>
      </c>
    </row>
    <row r="129" spans="1:5">
      <c r="A129">
        <v>1253</v>
      </c>
      <c r="B129" s="2">
        <v>45367.809027777781</v>
      </c>
      <c r="C129" t="str">
        <f>VLOOKUP(A129, user_table!$A:$B, 2, FALSE)</f>
        <v>Female</v>
      </c>
      <c r="D129" t="str">
        <f>VLOOKUP(A129, user_table!$A:$F, 5, FALSE)</f>
        <v>Desktop</v>
      </c>
      <c r="E129" t="str">
        <f>VLOOKUP(A129, user_table!$A:$F, 6, FALSE)</f>
        <v>Direct</v>
      </c>
    </row>
    <row r="130" spans="1:5">
      <c r="A130">
        <v>1333</v>
      </c>
      <c r="B130" s="2">
        <v>45362.711805555555</v>
      </c>
      <c r="C130" t="str">
        <f>VLOOKUP(A130, user_table!$A:$B, 2, FALSE)</f>
        <v>Male</v>
      </c>
      <c r="D130" t="str">
        <f>VLOOKUP(A130, user_table!$A:$F, 5, FALSE)</f>
        <v>Desktop</v>
      </c>
      <c r="E130" t="str">
        <f>VLOOKUP(A130, user_table!$A:$F, 6, FALSE)</f>
        <v>Paid</v>
      </c>
    </row>
    <row r="131" spans="1:5">
      <c r="A131">
        <v>1512</v>
      </c>
      <c r="B131" s="2">
        <v>45333.282638888886</v>
      </c>
      <c r="C131" t="str">
        <f>VLOOKUP(A131, user_table!$A:$B, 2, FALSE)</f>
        <v>Male</v>
      </c>
      <c r="D131" t="str">
        <f>VLOOKUP(A131, user_table!$A:$F, 5, FALSE)</f>
        <v>Desktop</v>
      </c>
      <c r="E131" t="str">
        <f>VLOOKUP(A131, user_table!$A:$F, 6, FALSE)</f>
        <v>Paid</v>
      </c>
    </row>
    <row r="132" spans="1:5">
      <c r="A132">
        <v>1611</v>
      </c>
      <c r="B132" s="2">
        <v>45338.268055555556</v>
      </c>
      <c r="C132" t="str">
        <f>VLOOKUP(A132, user_table!$A:$B, 2, FALSE)</f>
        <v>Male</v>
      </c>
      <c r="D132" t="str">
        <f>VLOOKUP(A132, user_table!$A:$F, 5, FALSE)</f>
        <v>Mobile</v>
      </c>
      <c r="E132" t="str">
        <f>VLOOKUP(A132, user_table!$A:$F, 6, FALSE)</f>
        <v>Organic</v>
      </c>
    </row>
    <row r="133" spans="1:5">
      <c r="A133">
        <v>1049</v>
      </c>
      <c r="B133" s="2">
        <v>45376.67291666667</v>
      </c>
      <c r="C133" t="str">
        <f>VLOOKUP(A133, user_table!$A:$B, 2, FALSE)</f>
        <v>Female</v>
      </c>
      <c r="D133" t="str">
        <f>VLOOKUP(A133, user_table!$A:$F, 5, FALSE)</f>
        <v>Mobile</v>
      </c>
      <c r="E133" t="str">
        <f>VLOOKUP(A133, user_table!$A:$F, 6, FALSE)</f>
        <v>Organic</v>
      </c>
    </row>
    <row r="134" spans="1:5">
      <c r="A134">
        <v>1070</v>
      </c>
      <c r="B134" s="2">
        <v>45314.218055555553</v>
      </c>
      <c r="C134" t="str">
        <f>VLOOKUP(A134, user_table!$A:$B, 2, FALSE)</f>
        <v>Female</v>
      </c>
      <c r="D134" t="str">
        <f>VLOOKUP(A134, user_table!$A:$F, 5, FALSE)</f>
        <v>Desktop</v>
      </c>
      <c r="E134" t="str">
        <f>VLOOKUP(A134, user_table!$A:$F, 6, FALSE)</f>
        <v>Direct</v>
      </c>
    </row>
    <row r="135" spans="1:5">
      <c r="A135">
        <v>1164</v>
      </c>
      <c r="B135" s="2">
        <v>45372.341666666667</v>
      </c>
      <c r="C135" t="str">
        <f>VLOOKUP(A135, user_table!$A:$B, 2, FALSE)</f>
        <v>Female</v>
      </c>
      <c r="D135" t="str">
        <f>VLOOKUP(A135, user_table!$A:$F, 5, FALSE)</f>
        <v>Mobile</v>
      </c>
      <c r="E135" t="str">
        <f>VLOOKUP(A135, user_table!$A:$F, 6, FALSE)</f>
        <v>Organic</v>
      </c>
    </row>
    <row r="136" spans="1:5">
      <c r="A136">
        <v>1644</v>
      </c>
      <c r="B136" s="2">
        <v>45308.237500000003</v>
      </c>
      <c r="C136" t="str">
        <f>VLOOKUP(A136, user_table!$A:$B, 2, FALSE)</f>
        <v>Male</v>
      </c>
      <c r="D136" t="str">
        <f>VLOOKUP(A136, user_table!$A:$F, 5, FALSE)</f>
        <v>Desktop</v>
      </c>
      <c r="E136" t="str">
        <f>VLOOKUP(A136, user_table!$A:$F, 6, FALSE)</f>
        <v>Organic</v>
      </c>
    </row>
    <row r="137" spans="1:5">
      <c r="A137">
        <v>1722</v>
      </c>
      <c r="B137" s="2">
        <v>45366.07916666667</v>
      </c>
      <c r="C137" t="str">
        <f>VLOOKUP(A137, user_table!$A:$B, 2, FALSE)</f>
        <v>Male</v>
      </c>
      <c r="D137" t="str">
        <f>VLOOKUP(A137, user_table!$A:$F, 5, FALSE)</f>
        <v>Desktop</v>
      </c>
      <c r="E137" t="str">
        <f>VLOOKUP(A137, user_table!$A:$F, 6, FALSE)</f>
        <v>Social</v>
      </c>
    </row>
    <row r="138" spans="1:5">
      <c r="A138">
        <v>1225</v>
      </c>
      <c r="B138" s="2">
        <v>45364.611805555556</v>
      </c>
      <c r="C138" t="str">
        <f>VLOOKUP(A138, user_table!$A:$B, 2, FALSE)</f>
        <v>Male</v>
      </c>
      <c r="D138" t="str">
        <f>VLOOKUP(A138, user_table!$A:$F, 5, FALSE)</f>
        <v>Mobile</v>
      </c>
      <c r="E138" t="str">
        <f>VLOOKUP(A138, user_table!$A:$F, 6, FALSE)</f>
        <v>Direct</v>
      </c>
    </row>
    <row r="139" spans="1:5">
      <c r="A139">
        <v>1816</v>
      </c>
      <c r="B139" s="2">
        <v>45364.095833333333</v>
      </c>
      <c r="C139" t="str">
        <f>VLOOKUP(A139, user_table!$A:$B, 2, FALSE)</f>
        <v>Male</v>
      </c>
      <c r="D139" t="str">
        <f>VLOOKUP(A139, user_table!$A:$F, 5, FALSE)</f>
        <v>Mobile</v>
      </c>
      <c r="E139" t="str">
        <f>VLOOKUP(A139, user_table!$A:$F, 6, FALSE)</f>
        <v>Paid</v>
      </c>
    </row>
    <row r="140" spans="1:5">
      <c r="A140">
        <v>1594</v>
      </c>
      <c r="B140" s="2">
        <v>45379.094444444447</v>
      </c>
      <c r="C140" t="str">
        <f>VLOOKUP(A140, user_table!$A:$B, 2, FALSE)</f>
        <v>Male</v>
      </c>
      <c r="D140" t="str">
        <f>VLOOKUP(A140, user_table!$A:$F, 5, FALSE)</f>
        <v>Desktop</v>
      </c>
      <c r="E140" t="str">
        <f>VLOOKUP(A140, user_table!$A:$F, 6, FALSE)</f>
        <v>Social</v>
      </c>
    </row>
    <row r="141" spans="1:5">
      <c r="A141">
        <v>1072</v>
      </c>
      <c r="B141" s="2">
        <v>45306.281944444447</v>
      </c>
      <c r="C141" t="str">
        <f>VLOOKUP(A141, user_table!$A:$B, 2, FALSE)</f>
        <v>Male</v>
      </c>
      <c r="D141" t="str">
        <f>VLOOKUP(A141, user_table!$A:$F, 5, FALSE)</f>
        <v>Tablet</v>
      </c>
      <c r="E141" t="str">
        <f>VLOOKUP(A141, user_table!$A:$F, 6, FALSE)</f>
        <v>Paid</v>
      </c>
    </row>
    <row r="142" spans="1:5">
      <c r="A142">
        <v>1848</v>
      </c>
      <c r="B142" s="2">
        <v>45368.63958333333</v>
      </c>
      <c r="C142" t="str">
        <f>VLOOKUP(A142, user_table!$A:$B, 2, FALSE)</f>
        <v>Female</v>
      </c>
      <c r="D142" t="str">
        <f>VLOOKUP(A142, user_table!$A:$F, 5, FALSE)</f>
        <v>Desktop</v>
      </c>
      <c r="E142" t="str">
        <f>VLOOKUP(A142, user_table!$A:$F, 6, FALSE)</f>
        <v>Direct</v>
      </c>
    </row>
    <row r="143" spans="1:5">
      <c r="A143">
        <v>1747</v>
      </c>
      <c r="B143" s="2">
        <v>45339.195833333331</v>
      </c>
      <c r="C143" t="str">
        <f>VLOOKUP(A143, user_table!$A:$B, 2, FALSE)</f>
        <v>Male</v>
      </c>
      <c r="D143" t="str">
        <f>VLOOKUP(A143, user_table!$A:$F, 5, FALSE)</f>
        <v>Desktop</v>
      </c>
      <c r="E143" t="str">
        <f>VLOOKUP(A143, user_table!$A:$F, 6, FALSE)</f>
        <v>Paid</v>
      </c>
    </row>
    <row r="144" spans="1:5">
      <c r="A144">
        <v>1226</v>
      </c>
      <c r="B144" s="2">
        <v>45377.29583333333</v>
      </c>
      <c r="C144" t="str">
        <f>VLOOKUP(A144, user_table!$A:$B, 2, FALSE)</f>
        <v>Male</v>
      </c>
      <c r="D144" t="str">
        <f>VLOOKUP(A144, user_table!$A:$F, 5, FALSE)</f>
        <v>Desktop</v>
      </c>
      <c r="E144" t="str">
        <f>VLOOKUP(A144, user_table!$A:$F, 6, FALSE)</f>
        <v>Social</v>
      </c>
    </row>
    <row r="145" spans="1:5">
      <c r="A145">
        <v>1099</v>
      </c>
      <c r="B145" s="2">
        <v>45330.794444444444</v>
      </c>
      <c r="C145" t="str">
        <f>VLOOKUP(A145, user_table!$A:$B, 2, FALSE)</f>
        <v>Male</v>
      </c>
      <c r="D145" t="str">
        <f>VLOOKUP(A145, user_table!$A:$F, 5, FALSE)</f>
        <v>Desktop</v>
      </c>
      <c r="E145" t="str">
        <f>VLOOKUP(A145, user_table!$A:$F, 6, FALSE)</f>
        <v>Organic</v>
      </c>
    </row>
    <row r="146" spans="1:5">
      <c r="A146">
        <v>1797</v>
      </c>
      <c r="B146" s="2">
        <v>45318.438194444447</v>
      </c>
      <c r="C146" t="str">
        <f>VLOOKUP(A146, user_table!$A:$B, 2, FALSE)</f>
        <v>Female</v>
      </c>
      <c r="D146" t="str">
        <f>VLOOKUP(A146, user_table!$A:$F, 5, FALSE)</f>
        <v>Mobile</v>
      </c>
      <c r="E146" t="str">
        <f>VLOOKUP(A146, user_table!$A:$F, 6, FALSE)</f>
        <v>Paid</v>
      </c>
    </row>
    <row r="147" spans="1:5">
      <c r="A147">
        <v>1697</v>
      </c>
      <c r="B147" s="2">
        <v>45351.443749999999</v>
      </c>
      <c r="C147" t="str">
        <f>VLOOKUP(A147, user_table!$A:$B, 2, FALSE)</f>
        <v>Male</v>
      </c>
      <c r="D147" t="str">
        <f>VLOOKUP(A147, user_table!$A:$F, 5, FALSE)</f>
        <v>Mobile</v>
      </c>
      <c r="E147" t="str">
        <f>VLOOKUP(A147, user_table!$A:$F, 6, FALSE)</f>
        <v>Social</v>
      </c>
    </row>
    <row r="148" spans="1:5">
      <c r="A148">
        <v>1873</v>
      </c>
      <c r="B148" s="2">
        <v>45378.405555555553</v>
      </c>
      <c r="C148" t="str">
        <f>VLOOKUP(A148, user_table!$A:$B, 2, FALSE)</f>
        <v>Female</v>
      </c>
      <c r="D148" t="str">
        <f>VLOOKUP(A148, user_table!$A:$F, 5, FALSE)</f>
        <v>Desktop</v>
      </c>
      <c r="E148" t="str">
        <f>VLOOKUP(A148, user_table!$A:$F, 6, FALSE)</f>
        <v>Social</v>
      </c>
    </row>
    <row r="149" spans="1:5">
      <c r="A149">
        <v>1487</v>
      </c>
      <c r="B149" s="2">
        <v>45368.191666666666</v>
      </c>
      <c r="C149" t="str">
        <f>VLOOKUP(A149, user_table!$A:$B, 2, FALSE)</f>
        <v>Male</v>
      </c>
      <c r="D149" t="str">
        <f>VLOOKUP(A149, user_table!$A:$F, 5, FALSE)</f>
        <v>Mobile</v>
      </c>
      <c r="E149" t="str">
        <f>VLOOKUP(A149, user_table!$A:$F, 6, FALSE)</f>
        <v>Social</v>
      </c>
    </row>
    <row r="150" spans="1:5">
      <c r="A150">
        <v>1621</v>
      </c>
      <c r="B150" s="2">
        <v>45366.493750000001</v>
      </c>
      <c r="C150" t="str">
        <f>VLOOKUP(A150, user_table!$A:$B, 2, FALSE)</f>
        <v>Male</v>
      </c>
      <c r="D150" t="str">
        <f>VLOOKUP(A150, user_table!$A:$F, 5, FALSE)</f>
        <v>Tablet</v>
      </c>
      <c r="E150" t="str">
        <f>VLOOKUP(A150, user_table!$A:$F, 6, FALSE)</f>
        <v>Organic</v>
      </c>
    </row>
    <row r="151" spans="1:5">
      <c r="A151">
        <v>1430</v>
      </c>
      <c r="B151" s="2">
        <v>45334.548611111109</v>
      </c>
      <c r="C151" t="str">
        <f>VLOOKUP(A151, user_table!$A:$B, 2, FALSE)</f>
        <v>Male</v>
      </c>
      <c r="D151" t="str">
        <f>VLOOKUP(A151, user_table!$A:$F, 5, FALSE)</f>
        <v>Tablet</v>
      </c>
      <c r="E151" t="str">
        <f>VLOOKUP(A151, user_table!$A:$F, 6, FALSE)</f>
        <v>Paid</v>
      </c>
    </row>
    <row r="152" spans="1:5">
      <c r="A152">
        <v>1624</v>
      </c>
      <c r="B152" s="2">
        <v>45294.427083333336</v>
      </c>
      <c r="C152" t="str">
        <f>VLOOKUP(A152, user_table!$A:$B, 2, FALSE)</f>
        <v>Male</v>
      </c>
      <c r="D152" t="str">
        <f>VLOOKUP(A152, user_table!$A:$F, 5, FALSE)</f>
        <v>Desktop</v>
      </c>
      <c r="E152" t="str">
        <f>VLOOKUP(A152, user_table!$A:$F, 6, FALSE)</f>
        <v>Social</v>
      </c>
    </row>
    <row r="153" spans="1:5">
      <c r="A153">
        <v>1177</v>
      </c>
      <c r="B153" s="2">
        <v>45322.949305555558</v>
      </c>
      <c r="C153" t="str">
        <f>VLOOKUP(A153, user_table!$A:$B, 2, FALSE)</f>
        <v>Female</v>
      </c>
      <c r="D153" t="str">
        <f>VLOOKUP(A153, user_table!$A:$F, 5, FALSE)</f>
        <v>Mobile</v>
      </c>
      <c r="E153" t="str">
        <f>VLOOKUP(A153, user_table!$A:$F, 6, FALSE)</f>
        <v>Direct</v>
      </c>
    </row>
    <row r="154" spans="1:5">
      <c r="A154">
        <v>1931</v>
      </c>
      <c r="B154" s="2">
        <v>45376.553472222222</v>
      </c>
      <c r="C154" t="str">
        <f>VLOOKUP(A154, user_table!$A:$B, 2, FALSE)</f>
        <v>Male</v>
      </c>
      <c r="D154" t="str">
        <f>VLOOKUP(A154, user_table!$A:$F, 5, FALSE)</f>
        <v>Mobile</v>
      </c>
      <c r="E154" t="str">
        <f>VLOOKUP(A154, user_table!$A:$F, 6, FALSE)</f>
        <v>Paid</v>
      </c>
    </row>
    <row r="155" spans="1:5">
      <c r="A155">
        <v>1813</v>
      </c>
      <c r="B155" s="2">
        <v>45340.196527777778</v>
      </c>
      <c r="C155" t="str">
        <f>VLOOKUP(A155, user_table!$A:$B, 2, FALSE)</f>
        <v>Male</v>
      </c>
      <c r="D155" t="str">
        <f>VLOOKUP(A155, user_table!$A:$F, 5, FALSE)</f>
        <v>Mobile</v>
      </c>
      <c r="E155" t="str">
        <f>VLOOKUP(A155, user_table!$A:$F, 6, FALSE)</f>
        <v>Social</v>
      </c>
    </row>
    <row r="156" spans="1:5">
      <c r="A156">
        <v>1363</v>
      </c>
      <c r="B156" s="2">
        <v>45336.645138888889</v>
      </c>
      <c r="C156" t="str">
        <f>VLOOKUP(A156, user_table!$A:$B, 2, FALSE)</f>
        <v>Male</v>
      </c>
      <c r="D156" t="str">
        <f>VLOOKUP(A156, user_table!$A:$F, 5, FALSE)</f>
        <v>Desktop</v>
      </c>
      <c r="E156" t="str">
        <f>VLOOKUP(A156, user_table!$A:$F, 6, FALSE)</f>
        <v>Social</v>
      </c>
    </row>
    <row r="157" spans="1:5">
      <c r="A157">
        <v>1905</v>
      </c>
      <c r="B157" s="2">
        <v>45351.492361111108</v>
      </c>
      <c r="C157" t="str">
        <f>VLOOKUP(A157, user_table!$A:$B, 2, FALSE)</f>
        <v>Male</v>
      </c>
      <c r="D157" t="str">
        <f>VLOOKUP(A157, user_table!$A:$F, 5, FALSE)</f>
        <v>Mobile</v>
      </c>
      <c r="E157" t="str">
        <f>VLOOKUP(A157, user_table!$A:$F, 6, FALSE)</f>
        <v>Organic</v>
      </c>
    </row>
    <row r="158" spans="1:5">
      <c r="A158">
        <v>1693</v>
      </c>
      <c r="B158" s="2">
        <v>45333.649305555555</v>
      </c>
      <c r="C158" t="str">
        <f>VLOOKUP(A158, user_table!$A:$B, 2, FALSE)</f>
        <v>Male</v>
      </c>
      <c r="D158" t="str">
        <f>VLOOKUP(A158, user_table!$A:$F, 5, FALSE)</f>
        <v>Desktop</v>
      </c>
      <c r="E158" t="str">
        <f>VLOOKUP(A158, user_table!$A:$F, 6, FALSE)</f>
        <v>Paid</v>
      </c>
    </row>
    <row r="159" spans="1:5">
      <c r="A159">
        <v>1885</v>
      </c>
      <c r="B159" s="2">
        <v>45307.236805555556</v>
      </c>
      <c r="C159" t="str">
        <f>VLOOKUP(A159, user_table!$A:$B, 2, FALSE)</f>
        <v>Female</v>
      </c>
      <c r="D159" t="str">
        <f>VLOOKUP(A159, user_table!$A:$F, 5, FALSE)</f>
        <v>Desktop</v>
      </c>
      <c r="E159" t="str">
        <f>VLOOKUP(A159, user_table!$A:$F, 6, FALSE)</f>
        <v>Organic</v>
      </c>
    </row>
    <row r="160" spans="1:5">
      <c r="A160">
        <v>1685</v>
      </c>
      <c r="B160" s="2">
        <v>45371.120138888888</v>
      </c>
      <c r="C160" t="str">
        <f>VLOOKUP(A160, user_table!$A:$B, 2, FALSE)</f>
        <v>Female</v>
      </c>
      <c r="D160" t="str">
        <f>VLOOKUP(A160, user_table!$A:$F, 5, FALSE)</f>
        <v>Desktop</v>
      </c>
      <c r="E160" t="str">
        <f>VLOOKUP(A160, user_table!$A:$F, 6, FALSE)</f>
        <v>Email</v>
      </c>
    </row>
    <row r="161" spans="1:5">
      <c r="A161">
        <v>1162</v>
      </c>
      <c r="B161" s="2">
        <v>45329.206250000003</v>
      </c>
      <c r="C161" t="str">
        <f>VLOOKUP(A161, user_table!$A:$B, 2, FALSE)</f>
        <v>Female</v>
      </c>
      <c r="D161" t="str">
        <f>VLOOKUP(A161, user_table!$A:$F, 5, FALSE)</f>
        <v>Desktop</v>
      </c>
      <c r="E161" t="str">
        <f>VLOOKUP(A161, user_table!$A:$F, 6, FALSE)</f>
        <v>Paid</v>
      </c>
    </row>
    <row r="162" spans="1:5">
      <c r="A162">
        <v>1434</v>
      </c>
      <c r="B162" s="2">
        <v>45362.261111111111</v>
      </c>
      <c r="C162" t="str">
        <f>VLOOKUP(A162, user_table!$A:$B, 2, FALSE)</f>
        <v>Male</v>
      </c>
      <c r="D162" t="str">
        <f>VLOOKUP(A162, user_table!$A:$F, 5, FALSE)</f>
        <v>Mobile</v>
      </c>
      <c r="E162" t="str">
        <f>VLOOKUP(A162, user_table!$A:$F, 6, FALSE)</f>
        <v>Paid</v>
      </c>
    </row>
    <row r="163" spans="1:5">
      <c r="A163">
        <v>1760</v>
      </c>
      <c r="B163" s="2">
        <v>45374.115277777775</v>
      </c>
      <c r="C163" t="str">
        <f>VLOOKUP(A163, user_table!$A:$B, 2, FALSE)</f>
        <v>Female</v>
      </c>
      <c r="D163" t="str">
        <f>VLOOKUP(A163, user_table!$A:$F, 5, FALSE)</f>
        <v>Mobile</v>
      </c>
      <c r="E163" t="str">
        <f>VLOOKUP(A163, user_table!$A:$F, 6, FALSE)</f>
        <v>Direct</v>
      </c>
    </row>
    <row r="164" spans="1:5">
      <c r="A164">
        <v>1012</v>
      </c>
      <c r="B164" s="2">
        <v>45303.037499999999</v>
      </c>
      <c r="C164" t="str">
        <f>VLOOKUP(A164, user_table!$A:$B, 2, FALSE)</f>
        <v>Female</v>
      </c>
      <c r="D164" t="str">
        <f>VLOOKUP(A164, user_table!$A:$F, 5, FALSE)</f>
        <v>Desktop</v>
      </c>
      <c r="E164" t="str">
        <f>VLOOKUP(A164, user_table!$A:$F, 6, FALSE)</f>
        <v>Organic</v>
      </c>
    </row>
    <row r="165" spans="1:5">
      <c r="A165">
        <v>1599</v>
      </c>
      <c r="B165" s="2">
        <v>45358.834027777775</v>
      </c>
      <c r="C165" t="str">
        <f>VLOOKUP(A165, user_table!$A:$B, 2, FALSE)</f>
        <v>Male</v>
      </c>
      <c r="D165" t="str">
        <f>VLOOKUP(A165, user_table!$A:$F, 5, FALSE)</f>
        <v>Desktop</v>
      </c>
      <c r="E165" t="str">
        <f>VLOOKUP(A165, user_table!$A:$F, 6, FALSE)</f>
        <v>Organic</v>
      </c>
    </row>
    <row r="166" spans="1:5">
      <c r="A166">
        <v>1536</v>
      </c>
      <c r="B166" s="2">
        <v>45368.767361111109</v>
      </c>
      <c r="C166" t="str">
        <f>VLOOKUP(A166, user_table!$A:$B, 2, FALSE)</f>
        <v>Female</v>
      </c>
      <c r="D166" t="str">
        <f>VLOOKUP(A166, user_table!$A:$F, 5, FALSE)</f>
        <v>Tablet</v>
      </c>
      <c r="E166" t="str">
        <f>VLOOKUP(A166, user_table!$A:$F, 6, FALSE)</f>
        <v>Organic</v>
      </c>
    </row>
    <row r="167" spans="1:5">
      <c r="A167">
        <v>1075</v>
      </c>
      <c r="B167" s="2">
        <v>45369.290277777778</v>
      </c>
      <c r="C167" t="str">
        <f>VLOOKUP(A167, user_table!$A:$B, 2, FALSE)</f>
        <v>Female</v>
      </c>
      <c r="D167" t="str">
        <f>VLOOKUP(A167, user_table!$A:$F, 5, FALSE)</f>
        <v>Tablet</v>
      </c>
      <c r="E167" t="str">
        <f>VLOOKUP(A167, user_table!$A:$F, 6, FALSE)</f>
        <v>Social</v>
      </c>
    </row>
    <row r="168" spans="1:5">
      <c r="A168">
        <v>1166</v>
      </c>
      <c r="B168" s="2">
        <v>45298.719444444447</v>
      </c>
      <c r="C168" t="str">
        <f>VLOOKUP(A168, user_table!$A:$B, 2, FALSE)</f>
        <v>Female</v>
      </c>
      <c r="D168" t="str">
        <f>VLOOKUP(A168, user_table!$A:$F, 5, FALSE)</f>
        <v>Desktop</v>
      </c>
      <c r="E168" t="str">
        <f>VLOOKUP(A168, user_table!$A:$F, 6, FALSE)</f>
        <v>Paid</v>
      </c>
    </row>
    <row r="169" spans="1:5">
      <c r="A169">
        <v>1875</v>
      </c>
      <c r="B169" s="2">
        <v>45363.729166666664</v>
      </c>
      <c r="C169" t="str">
        <f>VLOOKUP(A169, user_table!$A:$B, 2, FALSE)</f>
        <v>Male</v>
      </c>
      <c r="D169" t="str">
        <f>VLOOKUP(A169, user_table!$A:$F, 5, FALSE)</f>
        <v>Desktop</v>
      </c>
      <c r="E169" t="str">
        <f>VLOOKUP(A169, user_table!$A:$F, 6, FALSE)</f>
        <v>Paid</v>
      </c>
    </row>
    <row r="170" spans="1:5">
      <c r="A170">
        <v>1584</v>
      </c>
      <c r="B170" s="2">
        <v>45377.182638888888</v>
      </c>
      <c r="C170" t="str">
        <f>VLOOKUP(A170, user_table!$A:$B, 2, FALSE)</f>
        <v>Male</v>
      </c>
      <c r="D170" t="str">
        <f>VLOOKUP(A170, user_table!$A:$F, 5, FALSE)</f>
        <v>Desktop</v>
      </c>
      <c r="E170" t="str">
        <f>VLOOKUP(A170, user_table!$A:$F, 6, FALSE)</f>
        <v>Direct</v>
      </c>
    </row>
    <row r="171" spans="1:5">
      <c r="A171">
        <v>1729</v>
      </c>
      <c r="B171" s="2">
        <v>45344.331250000003</v>
      </c>
      <c r="C171" t="str">
        <f>VLOOKUP(A171, user_table!$A:$B, 2, FALSE)</f>
        <v>Male</v>
      </c>
      <c r="D171" t="str">
        <f>VLOOKUP(A171, user_table!$A:$F, 5, FALSE)</f>
        <v>Desktop</v>
      </c>
      <c r="E171" t="str">
        <f>VLOOKUP(A171, user_table!$A:$F, 6, FALSE)</f>
        <v>Organic</v>
      </c>
    </row>
    <row r="172" spans="1:5">
      <c r="A172">
        <v>1311</v>
      </c>
      <c r="B172" s="2">
        <v>45369.995833333334</v>
      </c>
      <c r="C172" t="str">
        <f>VLOOKUP(A172, user_table!$A:$B, 2, FALSE)</f>
        <v>Male</v>
      </c>
      <c r="D172" t="str">
        <f>VLOOKUP(A172, user_table!$A:$F, 5, FALSE)</f>
        <v>Mobile</v>
      </c>
      <c r="E172" t="str">
        <f>VLOOKUP(A172, user_table!$A:$F, 6, FALSE)</f>
        <v>Organic</v>
      </c>
    </row>
    <row r="173" spans="1:5">
      <c r="A173">
        <v>1998</v>
      </c>
      <c r="B173" s="2">
        <v>45331.186805555553</v>
      </c>
      <c r="C173" t="str">
        <f>VLOOKUP(A173, user_table!$A:$B, 2, FALSE)</f>
        <v>Male</v>
      </c>
      <c r="D173" t="str">
        <f>VLOOKUP(A173, user_table!$A:$F, 5, FALSE)</f>
        <v>Tablet</v>
      </c>
      <c r="E173" t="str">
        <f>VLOOKUP(A173, user_table!$A:$F, 6, FALSE)</f>
        <v>Social</v>
      </c>
    </row>
    <row r="174" spans="1:5">
      <c r="A174">
        <v>1206</v>
      </c>
      <c r="B174" s="2">
        <v>45358.670138888891</v>
      </c>
      <c r="C174" t="str">
        <f>VLOOKUP(A174, user_table!$A:$B, 2, FALSE)</f>
        <v>Male</v>
      </c>
      <c r="D174" t="str">
        <f>VLOOKUP(A174, user_table!$A:$F, 5, FALSE)</f>
        <v>Mobile</v>
      </c>
      <c r="E174" t="str">
        <f>VLOOKUP(A174, user_table!$A:$F, 6, FALSE)</f>
        <v>Social</v>
      </c>
    </row>
    <row r="175" spans="1:5">
      <c r="A175">
        <v>1593</v>
      </c>
      <c r="B175" s="2">
        <v>45344.480555555558</v>
      </c>
      <c r="C175" t="str">
        <f>VLOOKUP(A175, user_table!$A:$B, 2, FALSE)</f>
        <v>Male</v>
      </c>
      <c r="D175" t="str">
        <f>VLOOKUP(A175, user_table!$A:$F, 5, FALSE)</f>
        <v>Desktop</v>
      </c>
      <c r="E175" t="str">
        <f>VLOOKUP(A175, user_table!$A:$F, 6, FALSE)</f>
        <v>Organic</v>
      </c>
    </row>
    <row r="176" spans="1:5">
      <c r="A176">
        <v>1307</v>
      </c>
      <c r="B176" s="2">
        <v>45295.885416666664</v>
      </c>
      <c r="C176" t="str">
        <f>VLOOKUP(A176, user_table!$A:$B, 2, FALSE)</f>
        <v>Male</v>
      </c>
      <c r="D176" t="str">
        <f>VLOOKUP(A176, user_table!$A:$F, 5, FALSE)</f>
        <v>Tablet</v>
      </c>
      <c r="E176" t="str">
        <f>VLOOKUP(A176, user_table!$A:$F, 6, FALSE)</f>
        <v>Social</v>
      </c>
    </row>
    <row r="177" spans="1:5">
      <c r="A177">
        <v>1372</v>
      </c>
      <c r="B177" s="2">
        <v>45372.881944444445</v>
      </c>
      <c r="C177" t="str">
        <f>VLOOKUP(A177, user_table!$A:$B, 2, FALSE)</f>
        <v>Male</v>
      </c>
      <c r="D177" t="str">
        <f>VLOOKUP(A177, user_table!$A:$F, 5, FALSE)</f>
        <v>Desktop</v>
      </c>
      <c r="E177" t="str">
        <f>VLOOKUP(A177, user_table!$A:$F, 6, FALSE)</f>
        <v>Direct</v>
      </c>
    </row>
    <row r="178" spans="1:5">
      <c r="A178">
        <v>1289</v>
      </c>
      <c r="B178" s="2">
        <v>45359.186111111114</v>
      </c>
      <c r="C178" t="str">
        <f>VLOOKUP(A178, user_table!$A:$B, 2, FALSE)</f>
        <v>Male</v>
      </c>
      <c r="D178" t="str">
        <f>VLOOKUP(A178, user_table!$A:$F, 5, FALSE)</f>
        <v>Mobile</v>
      </c>
      <c r="E178" t="str">
        <f>VLOOKUP(A178, user_table!$A:$F, 6, FALSE)</f>
        <v>Organic</v>
      </c>
    </row>
    <row r="179" spans="1:5">
      <c r="A179">
        <v>1090</v>
      </c>
      <c r="B179" s="2">
        <v>45314.23333333333</v>
      </c>
      <c r="C179" t="str">
        <f>VLOOKUP(A179, user_table!$A:$B, 2, FALSE)</f>
        <v>Male</v>
      </c>
      <c r="D179" t="str">
        <f>VLOOKUP(A179, user_table!$A:$F, 5, FALSE)</f>
        <v>Mobile</v>
      </c>
      <c r="E179" t="str">
        <f>VLOOKUP(A179, user_table!$A:$F, 6, FALSE)</f>
        <v>Direct</v>
      </c>
    </row>
    <row r="180" spans="1:5">
      <c r="A180">
        <v>1053</v>
      </c>
      <c r="B180" s="2">
        <v>45366.913194444445</v>
      </c>
      <c r="C180" t="str">
        <f>VLOOKUP(A180, user_table!$A:$B, 2, FALSE)</f>
        <v>Female</v>
      </c>
      <c r="D180" t="str">
        <f>VLOOKUP(A180, user_table!$A:$F, 5, FALSE)</f>
        <v>Desktop</v>
      </c>
      <c r="E180" t="str">
        <f>VLOOKUP(A180, user_table!$A:$F, 6, FALSE)</f>
        <v>Direct</v>
      </c>
    </row>
    <row r="181" spans="1:5">
      <c r="A181">
        <v>1066</v>
      </c>
      <c r="B181" s="2">
        <v>45312.990277777775</v>
      </c>
      <c r="C181" t="str">
        <f>VLOOKUP(A181, user_table!$A:$B, 2, FALSE)</f>
        <v>Female</v>
      </c>
      <c r="D181" t="str">
        <f>VLOOKUP(A181, user_table!$A:$F, 5, FALSE)</f>
        <v>Desktop</v>
      </c>
      <c r="E181" t="str">
        <f>VLOOKUP(A181, user_table!$A:$F, 6, FALSE)</f>
        <v>Organic</v>
      </c>
    </row>
    <row r="182" spans="1:5">
      <c r="A182">
        <v>1003</v>
      </c>
      <c r="B182" s="2">
        <v>45355.459722222222</v>
      </c>
      <c r="C182" t="str">
        <f>VLOOKUP(A182, user_table!$A:$B, 2, FALSE)</f>
        <v>Female</v>
      </c>
      <c r="D182" t="str">
        <f>VLOOKUP(A182, user_table!$A:$F, 5, FALSE)</f>
        <v>Mobile</v>
      </c>
      <c r="E182" t="str">
        <f>VLOOKUP(A182, user_table!$A:$F, 6, FALSE)</f>
        <v>Social</v>
      </c>
    </row>
    <row r="183" spans="1:5">
      <c r="A183">
        <v>1898</v>
      </c>
      <c r="B183" s="2">
        <v>45322.634722222225</v>
      </c>
      <c r="C183" t="str">
        <f>VLOOKUP(A183, user_table!$A:$B, 2, FALSE)</f>
        <v>Female</v>
      </c>
      <c r="D183" t="str">
        <f>VLOOKUP(A183, user_table!$A:$F, 5, FALSE)</f>
        <v>Desktop</v>
      </c>
      <c r="E183" t="str">
        <f>VLOOKUP(A183, user_table!$A:$F, 6, FALSE)</f>
        <v>Direct</v>
      </c>
    </row>
    <row r="184" spans="1:5">
      <c r="A184">
        <v>2000</v>
      </c>
      <c r="B184" s="2">
        <v>45302.349305555559</v>
      </c>
      <c r="C184" t="str">
        <f>VLOOKUP(A184, user_table!$A:$B, 2, FALSE)</f>
        <v>Male</v>
      </c>
      <c r="D184" t="str">
        <f>VLOOKUP(A184, user_table!$A:$F, 5, FALSE)</f>
        <v>Mobile</v>
      </c>
      <c r="E184" t="str">
        <f>VLOOKUP(A184, user_table!$A:$F, 6, FALSE)</f>
        <v>Social</v>
      </c>
    </row>
    <row r="185" spans="1:5">
      <c r="A185">
        <v>1082</v>
      </c>
      <c r="B185" s="2">
        <v>45323.070833333331</v>
      </c>
      <c r="C185" t="str">
        <f>VLOOKUP(A185, user_table!$A:$B, 2, FALSE)</f>
        <v>Female</v>
      </c>
      <c r="D185" t="str">
        <f>VLOOKUP(A185, user_table!$A:$F, 5, FALSE)</f>
        <v>Desktop</v>
      </c>
      <c r="E185" t="str">
        <f>VLOOKUP(A185, user_table!$A:$F, 6, FALSE)</f>
        <v>Organic</v>
      </c>
    </row>
    <row r="186" spans="1:5">
      <c r="A186">
        <v>1563</v>
      </c>
      <c r="B186" s="2">
        <v>45320.706944444442</v>
      </c>
      <c r="C186" t="str">
        <f>VLOOKUP(A186, user_table!$A:$B, 2, FALSE)</f>
        <v>Male</v>
      </c>
      <c r="D186" t="str">
        <f>VLOOKUP(A186, user_table!$A:$F, 5, FALSE)</f>
        <v>Desktop</v>
      </c>
      <c r="E186" t="str">
        <f>VLOOKUP(A186, user_table!$A:$F, 6, FALSE)</f>
        <v>Social</v>
      </c>
    </row>
    <row r="187" spans="1:5">
      <c r="A187">
        <v>1388</v>
      </c>
      <c r="B187" s="2">
        <v>45340.520833333336</v>
      </c>
      <c r="C187" t="str">
        <f>VLOOKUP(A187, user_table!$A:$B, 2, FALSE)</f>
        <v>Male</v>
      </c>
      <c r="D187" t="str">
        <f>VLOOKUP(A187, user_table!$A:$F, 5, FALSE)</f>
        <v>Desktop</v>
      </c>
      <c r="E187" t="str">
        <f>VLOOKUP(A187, user_table!$A:$F, 6, FALSE)</f>
        <v>Organic</v>
      </c>
    </row>
    <row r="188" spans="1:5">
      <c r="A188">
        <v>1830</v>
      </c>
      <c r="B188" s="2">
        <v>45352.043055555558</v>
      </c>
      <c r="C188" t="str">
        <f>VLOOKUP(A188, user_table!$A:$B, 2, FALSE)</f>
        <v>Male</v>
      </c>
      <c r="D188" t="str">
        <f>VLOOKUP(A188, user_table!$A:$F, 5, FALSE)</f>
        <v>Mobile</v>
      </c>
      <c r="E188" t="str">
        <f>VLOOKUP(A188, user_table!$A:$F, 6, FALSE)</f>
        <v>Social</v>
      </c>
    </row>
    <row r="189" spans="1:5">
      <c r="A189">
        <v>1647</v>
      </c>
      <c r="B189" s="2">
        <v>45377.42083333333</v>
      </c>
      <c r="C189" t="str">
        <f>VLOOKUP(A189, user_table!$A:$B, 2, FALSE)</f>
        <v>Female</v>
      </c>
      <c r="D189" t="str">
        <f>VLOOKUP(A189, user_table!$A:$F, 5, FALSE)</f>
        <v>Desktop</v>
      </c>
      <c r="E189" t="str">
        <f>VLOOKUP(A189, user_table!$A:$F, 6, FALSE)</f>
        <v>Email</v>
      </c>
    </row>
    <row r="190" spans="1:5">
      <c r="A190">
        <v>1559</v>
      </c>
      <c r="B190" s="2">
        <v>45360.870138888888</v>
      </c>
      <c r="C190" t="str">
        <f>VLOOKUP(A190, user_table!$A:$B, 2, FALSE)</f>
        <v>Female</v>
      </c>
      <c r="D190" t="str">
        <f>VLOOKUP(A190, user_table!$A:$F, 5, FALSE)</f>
        <v>Mobile</v>
      </c>
      <c r="E190" t="str">
        <f>VLOOKUP(A190, user_table!$A:$F, 6, FALSE)</f>
        <v>Paid</v>
      </c>
    </row>
    <row r="191" spans="1:5">
      <c r="A191">
        <v>1344</v>
      </c>
      <c r="B191" s="2">
        <v>45329.969444444447</v>
      </c>
      <c r="C191" t="str">
        <f>VLOOKUP(A191, user_table!$A:$B, 2, FALSE)</f>
        <v>Male</v>
      </c>
      <c r="D191" t="str">
        <f>VLOOKUP(A191, user_table!$A:$F, 5, FALSE)</f>
        <v>Mobile</v>
      </c>
      <c r="E191" t="str">
        <f>VLOOKUP(A191, user_table!$A:$F, 6, FALSE)</f>
        <v>Organic</v>
      </c>
    </row>
    <row r="192" spans="1:5">
      <c r="A192">
        <v>1056</v>
      </c>
      <c r="B192" s="2">
        <v>45368.73333333333</v>
      </c>
      <c r="C192" t="str">
        <f>VLOOKUP(A192, user_table!$A:$B, 2, FALSE)</f>
        <v>Female</v>
      </c>
      <c r="D192" t="str">
        <f>VLOOKUP(A192, user_table!$A:$F, 5, FALSE)</f>
        <v>Tablet</v>
      </c>
      <c r="E192" t="str">
        <f>VLOOKUP(A192, user_table!$A:$F, 6, FALSE)</f>
        <v>Organic</v>
      </c>
    </row>
    <row r="193" spans="1:5">
      <c r="A193">
        <v>1585</v>
      </c>
      <c r="B193" s="2">
        <v>45316.52847222222</v>
      </c>
      <c r="C193" t="str">
        <f>VLOOKUP(A193, user_table!$A:$B, 2, FALSE)</f>
        <v>Female</v>
      </c>
      <c r="D193" t="str">
        <f>VLOOKUP(A193, user_table!$A:$F, 5, FALSE)</f>
        <v>Mobile</v>
      </c>
      <c r="E193" t="str">
        <f>VLOOKUP(A193, user_table!$A:$F, 6, FALSE)</f>
        <v>Organic</v>
      </c>
    </row>
    <row r="194" spans="1:5">
      <c r="A194">
        <v>1726</v>
      </c>
      <c r="B194" s="2">
        <v>45342.484027777777</v>
      </c>
      <c r="C194" t="str">
        <f>VLOOKUP(A194, user_table!$A:$B, 2, FALSE)</f>
        <v>Female</v>
      </c>
      <c r="D194" t="str">
        <f>VLOOKUP(A194, user_table!$A:$F, 5, FALSE)</f>
        <v>Mobile</v>
      </c>
      <c r="E194" t="str">
        <f>VLOOKUP(A194, user_table!$A:$F, 6, FALSE)</f>
        <v>Organic</v>
      </c>
    </row>
    <row r="195" spans="1:5">
      <c r="A195">
        <v>1630</v>
      </c>
      <c r="B195" s="2">
        <v>45377.106249999997</v>
      </c>
      <c r="C195" t="str">
        <f>VLOOKUP(A195, user_table!$A:$B, 2, FALSE)</f>
        <v>Male</v>
      </c>
      <c r="D195" t="str">
        <f>VLOOKUP(A195, user_table!$A:$F, 5, FALSE)</f>
        <v>Tablet</v>
      </c>
      <c r="E195" t="str">
        <f>VLOOKUP(A195, user_table!$A:$F, 6, FALSE)</f>
        <v>Organic</v>
      </c>
    </row>
    <row r="196" spans="1:5">
      <c r="A196">
        <v>1715</v>
      </c>
      <c r="B196" s="2">
        <v>45326.540277777778</v>
      </c>
      <c r="C196" t="str">
        <f>VLOOKUP(A196, user_table!$A:$B, 2, FALSE)</f>
        <v>Male</v>
      </c>
      <c r="D196" t="str">
        <f>VLOOKUP(A196, user_table!$A:$F, 5, FALSE)</f>
        <v>Mobile</v>
      </c>
      <c r="E196" t="str">
        <f>VLOOKUP(A196, user_table!$A:$F, 6, FALSE)</f>
        <v>Paid</v>
      </c>
    </row>
    <row r="197" spans="1:5">
      <c r="A197">
        <v>1794</v>
      </c>
      <c r="B197" s="2">
        <v>45322.684027777781</v>
      </c>
      <c r="C197" t="str">
        <f>VLOOKUP(A197, user_table!$A:$B, 2, FALSE)</f>
        <v>Female</v>
      </c>
      <c r="D197" t="str">
        <f>VLOOKUP(A197, user_table!$A:$F, 5, FALSE)</f>
        <v>Desktop</v>
      </c>
      <c r="E197" t="str">
        <f>VLOOKUP(A197, user_table!$A:$F, 6, FALSE)</f>
        <v>Organic</v>
      </c>
    </row>
    <row r="198" spans="1:5">
      <c r="A198">
        <v>1332</v>
      </c>
      <c r="B198" s="2">
        <v>45339.479861111111</v>
      </c>
      <c r="C198" t="str">
        <f>VLOOKUP(A198, user_table!$A:$B, 2, FALSE)</f>
        <v>Female</v>
      </c>
      <c r="D198" t="str">
        <f>VLOOKUP(A198, user_table!$A:$F, 5, FALSE)</f>
        <v>Desktop</v>
      </c>
      <c r="E198" t="str">
        <f>VLOOKUP(A198, user_table!$A:$F, 6, FALSE)</f>
        <v>Organic</v>
      </c>
    </row>
    <row r="199" spans="1:5">
      <c r="A199">
        <v>1850</v>
      </c>
      <c r="B199" s="2">
        <v>45355.791666666664</v>
      </c>
      <c r="C199" t="str">
        <f>VLOOKUP(A199, user_table!$A:$B, 2, FALSE)</f>
        <v>Female</v>
      </c>
      <c r="D199" t="str">
        <f>VLOOKUP(A199, user_table!$A:$F, 5, FALSE)</f>
        <v>Desktop</v>
      </c>
      <c r="E199" t="str">
        <f>VLOOKUP(A199, user_table!$A:$F, 6, FALSE)</f>
        <v>Paid</v>
      </c>
    </row>
    <row r="200" spans="1:5">
      <c r="A200">
        <v>1132</v>
      </c>
      <c r="B200" s="2">
        <v>45358.186111111114</v>
      </c>
      <c r="C200" t="str">
        <f>VLOOKUP(A200, user_table!$A:$B, 2, FALSE)</f>
        <v>Male</v>
      </c>
      <c r="D200" t="str">
        <f>VLOOKUP(A200, user_table!$A:$F, 5, FALSE)</f>
        <v>Desktop</v>
      </c>
      <c r="E200" t="str">
        <f>VLOOKUP(A200, user_table!$A:$F, 6, FALSE)</f>
        <v>Social</v>
      </c>
    </row>
    <row r="201" spans="1:5">
      <c r="A201">
        <v>1855</v>
      </c>
      <c r="B201" s="2">
        <v>45315.294444444444</v>
      </c>
      <c r="C201" t="str">
        <f>VLOOKUP(A201, user_table!$A:$B, 2, FALSE)</f>
        <v>Male</v>
      </c>
      <c r="D201" t="str">
        <f>VLOOKUP(A201, user_table!$A:$F, 5, FALSE)</f>
        <v>Desktop</v>
      </c>
      <c r="E201" t="str">
        <f>VLOOKUP(A201, user_table!$A:$F, 6, FALSE)</f>
        <v>Paid</v>
      </c>
    </row>
    <row r="202" spans="1:5">
      <c r="A202">
        <v>1746</v>
      </c>
      <c r="B202" s="2">
        <v>45359.845138888886</v>
      </c>
      <c r="C202" t="str">
        <f>VLOOKUP(A202, user_table!$A:$B, 2, FALSE)</f>
        <v>Female</v>
      </c>
      <c r="D202" t="str">
        <f>VLOOKUP(A202, user_table!$A:$F, 5, FALSE)</f>
        <v>Tablet</v>
      </c>
      <c r="E202" t="str">
        <f>VLOOKUP(A202, user_table!$A:$F, 6, FALSE)</f>
        <v>Organic</v>
      </c>
    </row>
    <row r="203" spans="1:5">
      <c r="A203">
        <v>1217</v>
      </c>
      <c r="B203" s="2">
        <v>45321.174305555556</v>
      </c>
      <c r="C203" t="str">
        <f>VLOOKUP(A203, user_table!$A:$B, 2, FALSE)</f>
        <v>Male</v>
      </c>
      <c r="D203" t="str">
        <f>VLOOKUP(A203, user_table!$A:$F, 5, FALSE)</f>
        <v>Mobile</v>
      </c>
      <c r="E203" t="str">
        <f>VLOOKUP(A203, user_table!$A:$F, 6, FALSE)</f>
        <v>Social</v>
      </c>
    </row>
    <row r="204" spans="1:5">
      <c r="A204">
        <v>1245</v>
      </c>
      <c r="B204" s="2">
        <v>45314.484722222223</v>
      </c>
      <c r="C204" t="str">
        <f>VLOOKUP(A204, user_table!$A:$B, 2, FALSE)</f>
        <v>Male</v>
      </c>
      <c r="D204" t="str">
        <f>VLOOKUP(A204, user_table!$A:$F, 5, FALSE)</f>
        <v>Tablet</v>
      </c>
      <c r="E204" t="str">
        <f>VLOOKUP(A204, user_table!$A:$F, 6, FALSE)</f>
        <v>Paid</v>
      </c>
    </row>
    <row r="205" spans="1:5">
      <c r="A205">
        <v>1959</v>
      </c>
      <c r="B205" s="2">
        <v>45309.884722222225</v>
      </c>
      <c r="C205" t="str">
        <f>VLOOKUP(A205, user_table!$A:$B, 2, FALSE)</f>
        <v>Male</v>
      </c>
      <c r="D205" t="str">
        <f>VLOOKUP(A205, user_table!$A:$F, 5, FALSE)</f>
        <v>Mobile</v>
      </c>
      <c r="E205" t="str">
        <f>VLOOKUP(A205, user_table!$A:$F, 6, FALSE)</f>
        <v>Email</v>
      </c>
    </row>
    <row r="206" spans="1:5">
      <c r="A206">
        <v>1547</v>
      </c>
      <c r="B206" s="2">
        <v>45347.448611111111</v>
      </c>
      <c r="C206" t="str">
        <f>VLOOKUP(A206, user_table!$A:$B, 2, FALSE)</f>
        <v>Male</v>
      </c>
      <c r="D206" t="str">
        <f>VLOOKUP(A206, user_table!$A:$F, 5, FALSE)</f>
        <v>Desktop</v>
      </c>
      <c r="E206" t="str">
        <f>VLOOKUP(A206, user_table!$A:$F, 6, FALSE)</f>
        <v>Organic</v>
      </c>
    </row>
    <row r="207" spans="1:5">
      <c r="A207">
        <v>1498</v>
      </c>
      <c r="B207" s="2">
        <v>45308.654861111114</v>
      </c>
      <c r="C207" t="str">
        <f>VLOOKUP(A207, user_table!$A:$B, 2, FALSE)</f>
        <v>Male</v>
      </c>
      <c r="D207" t="str">
        <f>VLOOKUP(A207, user_table!$A:$F, 5, FALSE)</f>
        <v>Desktop</v>
      </c>
      <c r="E207" t="str">
        <f>VLOOKUP(A207, user_table!$A:$F, 6, FALSE)</f>
        <v>Social</v>
      </c>
    </row>
    <row r="208" spans="1:5">
      <c r="A208">
        <v>1293</v>
      </c>
      <c r="B208" s="2">
        <v>45355.634027777778</v>
      </c>
      <c r="C208" t="str">
        <f>VLOOKUP(A208, user_table!$A:$B, 2, FALSE)</f>
        <v>Female</v>
      </c>
      <c r="D208" t="str">
        <f>VLOOKUP(A208, user_table!$A:$F, 5, FALSE)</f>
        <v>Tablet</v>
      </c>
      <c r="E208" t="str">
        <f>VLOOKUP(A208, user_table!$A:$F, 6, FALSE)</f>
        <v>Organic</v>
      </c>
    </row>
    <row r="209" spans="1:5">
      <c r="A209">
        <v>1767</v>
      </c>
      <c r="B209" s="2">
        <v>45369.236805555556</v>
      </c>
      <c r="C209" t="str">
        <f>VLOOKUP(A209, user_table!$A:$B, 2, FALSE)</f>
        <v>Female</v>
      </c>
      <c r="D209" t="str">
        <f>VLOOKUP(A209, user_table!$A:$F, 5, FALSE)</f>
        <v>Tablet</v>
      </c>
      <c r="E209" t="str">
        <f>VLOOKUP(A209, user_table!$A:$F, 6, FALSE)</f>
        <v>Organic</v>
      </c>
    </row>
    <row r="210" spans="1:5">
      <c r="A210">
        <v>1602</v>
      </c>
      <c r="B210" s="2">
        <v>45346.010416666664</v>
      </c>
      <c r="C210" t="str">
        <f>VLOOKUP(A210, user_table!$A:$B, 2, FALSE)</f>
        <v>Male</v>
      </c>
      <c r="D210" t="str">
        <f>VLOOKUP(A210, user_table!$A:$F, 5, FALSE)</f>
        <v>Desktop</v>
      </c>
      <c r="E210" t="str">
        <f>VLOOKUP(A210, user_table!$A:$F, 6, FALSE)</f>
        <v>Paid</v>
      </c>
    </row>
    <row r="211" spans="1:5">
      <c r="A211">
        <v>1470</v>
      </c>
      <c r="B211" s="2">
        <v>45299.191666666666</v>
      </c>
      <c r="C211" t="str">
        <f>VLOOKUP(A211, user_table!$A:$B, 2, FALSE)</f>
        <v>Female</v>
      </c>
      <c r="D211" t="str">
        <f>VLOOKUP(A211, user_table!$A:$F, 5, FALSE)</f>
        <v>Mobile</v>
      </c>
      <c r="E211" t="str">
        <f>VLOOKUP(A211, user_table!$A:$F, 6, FALSE)</f>
        <v>Organic</v>
      </c>
    </row>
    <row r="212" spans="1:5">
      <c r="A212">
        <v>1352</v>
      </c>
      <c r="B212" s="2">
        <v>45369.213888888888</v>
      </c>
      <c r="C212" t="str">
        <f>VLOOKUP(A212, user_table!$A:$B, 2, FALSE)</f>
        <v>Female</v>
      </c>
      <c r="D212" t="str">
        <f>VLOOKUP(A212, user_table!$A:$F, 5, FALSE)</f>
        <v>Desktop</v>
      </c>
      <c r="E212" t="str">
        <f>VLOOKUP(A212, user_table!$A:$F, 6, FALSE)</f>
        <v>Organic</v>
      </c>
    </row>
    <row r="213" spans="1:5">
      <c r="A213">
        <v>1324</v>
      </c>
      <c r="B213" s="2">
        <v>45374.668055555558</v>
      </c>
      <c r="C213" t="str">
        <f>VLOOKUP(A213, user_table!$A:$B, 2, FALSE)</f>
        <v>Male</v>
      </c>
      <c r="D213" t="str">
        <f>VLOOKUP(A213, user_table!$A:$F, 5, FALSE)</f>
        <v>Tablet</v>
      </c>
      <c r="E213" t="str">
        <f>VLOOKUP(A213, user_table!$A:$F, 6, FALSE)</f>
        <v>Direct</v>
      </c>
    </row>
    <row r="214" spans="1:5">
      <c r="A214">
        <v>1310</v>
      </c>
      <c r="B214" s="2">
        <v>45367.168749999997</v>
      </c>
      <c r="C214" t="str">
        <f>VLOOKUP(A214, user_table!$A:$B, 2, FALSE)</f>
        <v>Male</v>
      </c>
      <c r="D214" t="str">
        <f>VLOOKUP(A214, user_table!$A:$F, 5, FALSE)</f>
        <v>Desktop</v>
      </c>
      <c r="E214" t="str">
        <f>VLOOKUP(A214, user_table!$A:$F, 6, FALSE)</f>
        <v>Paid</v>
      </c>
    </row>
    <row r="215" spans="1:5">
      <c r="A215">
        <v>1997</v>
      </c>
      <c r="B215" s="2">
        <v>45315.374305555553</v>
      </c>
      <c r="C215" t="str">
        <f>VLOOKUP(A215, user_table!$A:$B, 2, FALSE)</f>
        <v>Female</v>
      </c>
      <c r="D215" t="str">
        <f>VLOOKUP(A215, user_table!$A:$F, 5, FALSE)</f>
        <v>Mobile</v>
      </c>
      <c r="E215" t="str">
        <f>VLOOKUP(A215, user_table!$A:$F, 6, FALSE)</f>
        <v>Organic</v>
      </c>
    </row>
    <row r="216" spans="1:5">
      <c r="A216">
        <v>1105</v>
      </c>
      <c r="B216" s="2">
        <v>45317.684027777781</v>
      </c>
      <c r="C216" t="str">
        <f>VLOOKUP(A216, user_table!$A:$B, 2, FALSE)</f>
        <v>Female</v>
      </c>
      <c r="D216" t="str">
        <f>VLOOKUP(A216, user_table!$A:$F, 5, FALSE)</f>
        <v>Mobile</v>
      </c>
      <c r="E216" t="str">
        <f>VLOOKUP(A216, user_table!$A:$F, 6, FALSE)</f>
        <v>Social</v>
      </c>
    </row>
    <row r="217" spans="1:5">
      <c r="A217">
        <v>1961</v>
      </c>
      <c r="B217" s="2">
        <v>45370.777777777781</v>
      </c>
      <c r="C217" t="str">
        <f>VLOOKUP(A217, user_table!$A:$B, 2, FALSE)</f>
        <v>Male</v>
      </c>
      <c r="D217" t="str">
        <f>VLOOKUP(A217, user_table!$A:$F, 5, FALSE)</f>
        <v>Desktop</v>
      </c>
      <c r="E217" t="str">
        <f>VLOOKUP(A217, user_table!$A:$F, 6, FALSE)</f>
        <v>Organic</v>
      </c>
    </row>
    <row r="218" spans="1:5">
      <c r="A218">
        <v>1204</v>
      </c>
      <c r="B218" s="2">
        <v>45296.990277777775</v>
      </c>
      <c r="C218" t="str">
        <f>VLOOKUP(A218, user_table!$A:$B, 2, FALSE)</f>
        <v>Female</v>
      </c>
      <c r="D218" t="str">
        <f>VLOOKUP(A218, user_table!$A:$F, 5, FALSE)</f>
        <v>Mobile</v>
      </c>
      <c r="E218" t="str">
        <f>VLOOKUP(A218, user_table!$A:$F, 6, FALSE)</f>
        <v>Paid</v>
      </c>
    </row>
    <row r="219" spans="1:5">
      <c r="A219">
        <v>1567</v>
      </c>
      <c r="B219" s="2">
        <v>45378.378472222219</v>
      </c>
      <c r="C219" t="str">
        <f>VLOOKUP(A219, user_table!$A:$B, 2, FALSE)</f>
        <v>Male</v>
      </c>
      <c r="D219" t="str">
        <f>VLOOKUP(A219, user_table!$A:$F, 5, FALSE)</f>
        <v>Desktop</v>
      </c>
      <c r="E219" t="str">
        <f>VLOOKUP(A219, user_table!$A:$F, 6, FALSE)</f>
        <v>Paid</v>
      </c>
    </row>
    <row r="220" spans="1:5">
      <c r="A220">
        <v>1277</v>
      </c>
      <c r="B220" s="2">
        <v>45321.609722222223</v>
      </c>
      <c r="C220" t="str">
        <f>VLOOKUP(A220, user_table!$A:$B, 2, FALSE)</f>
        <v>Female</v>
      </c>
      <c r="D220" t="str">
        <f>VLOOKUP(A220, user_table!$A:$F, 5, FALSE)</f>
        <v>Tablet</v>
      </c>
      <c r="E220" t="str">
        <f>VLOOKUP(A220, user_table!$A:$F, 6, FALSE)</f>
        <v>Organic</v>
      </c>
    </row>
    <row r="221" spans="1:5">
      <c r="A221">
        <v>1285</v>
      </c>
      <c r="B221" s="2">
        <v>45354.631944444445</v>
      </c>
      <c r="C221" t="str">
        <f>VLOOKUP(A221, user_table!$A:$B, 2, FALSE)</f>
        <v>Female</v>
      </c>
      <c r="D221" t="str">
        <f>VLOOKUP(A221, user_table!$A:$F, 5, FALSE)</f>
        <v>Mobile</v>
      </c>
      <c r="E221" t="str">
        <f>VLOOKUP(A221, user_table!$A:$F, 6, FALSE)</f>
        <v>Social</v>
      </c>
    </row>
  </sheetData>
  <phoneticPr fontId="4" type="noConversion"/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B3B3-996C-45BD-B2BB-50141DF34672}">
  <dimension ref="A1:O67"/>
  <sheetViews>
    <sheetView workbookViewId="0">
      <selection activeCell="F6" sqref="F6"/>
    </sheetView>
  </sheetViews>
  <sheetFormatPr defaultRowHeight="14.5"/>
  <cols>
    <col min="1" max="1" width="18.08984375" customWidth="1"/>
    <col min="3" max="3" width="19.1796875" customWidth="1"/>
    <col min="4" max="4" width="11.1796875" customWidth="1"/>
    <col min="5" max="5" width="12.08984375" customWidth="1"/>
    <col min="8" max="8" width="13.6328125" customWidth="1"/>
    <col min="11" max="11" width="12" customWidth="1"/>
    <col min="14" max="14" width="97.81640625" customWidth="1"/>
    <col min="15" max="15" width="29.6328125" customWidth="1"/>
  </cols>
  <sheetData>
    <row r="1" spans="1:14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30</v>
      </c>
      <c r="F1" s="3"/>
      <c r="G1" s="3"/>
      <c r="H1" s="3"/>
    </row>
    <row r="2" spans="1:14" ht="23.5">
      <c r="A2" t="s">
        <v>26</v>
      </c>
      <c r="B2">
        <f>COUNTA(home_page!A:A)-1</f>
        <v>1000</v>
      </c>
      <c r="C2" s="4">
        <v>1</v>
      </c>
      <c r="D2">
        <v>0</v>
      </c>
      <c r="E2" s="5">
        <v>1</v>
      </c>
      <c r="H2" s="15" t="s">
        <v>31</v>
      </c>
      <c r="I2" s="15" t="s">
        <v>39</v>
      </c>
      <c r="J2" s="15" t="s">
        <v>40</v>
      </c>
      <c r="K2" s="15" t="s">
        <v>42</v>
      </c>
      <c r="L2" s="15" t="s">
        <v>41</v>
      </c>
      <c r="N2" s="19" t="s">
        <v>76</v>
      </c>
    </row>
    <row r="3" spans="1:14">
      <c r="A3" t="s">
        <v>27</v>
      </c>
      <c r="B3">
        <f>COUNTA(search_page!A:A)-1</f>
        <v>550</v>
      </c>
      <c r="C3" s="5">
        <f>B3/B2</f>
        <v>0.55000000000000004</v>
      </c>
      <c r="D3" s="4">
        <f>1-C3</f>
        <v>0.44999999999999996</v>
      </c>
      <c r="E3" s="6">
        <f>B3/$B$2</f>
        <v>0.55000000000000004</v>
      </c>
      <c r="H3" s="16" t="s">
        <v>6</v>
      </c>
      <c r="I3" s="17">
        <v>525</v>
      </c>
      <c r="J3" s="17">
        <v>295</v>
      </c>
      <c r="K3" s="17">
        <v>63</v>
      </c>
      <c r="L3" s="17">
        <v>120</v>
      </c>
    </row>
    <row r="4" spans="1:14">
      <c r="A4" t="s">
        <v>29</v>
      </c>
      <c r="B4">
        <f>COUNTA(payment_page!A:A)-1</f>
        <v>220</v>
      </c>
      <c r="C4" s="5">
        <f>B4/B3</f>
        <v>0.4</v>
      </c>
      <c r="D4" s="4">
        <f>1-C4</f>
        <v>0.6</v>
      </c>
      <c r="E4" s="6">
        <f t="shared" ref="E4:E5" si="0">B4/$B$2</f>
        <v>0.22</v>
      </c>
      <c r="H4" s="16" t="s">
        <v>10</v>
      </c>
      <c r="I4" s="17">
        <v>475</v>
      </c>
      <c r="J4" s="17">
        <v>255</v>
      </c>
      <c r="K4" s="17">
        <v>58</v>
      </c>
      <c r="L4" s="17">
        <v>100</v>
      </c>
      <c r="N4" s="3" t="s">
        <v>43</v>
      </c>
    </row>
    <row r="5" spans="1:14">
      <c r="A5" t="s">
        <v>28</v>
      </c>
      <c r="B5">
        <f>COUNTA('confirmation_page'!A:A)-1</f>
        <v>121</v>
      </c>
      <c r="C5" s="5">
        <f>B5/B4</f>
        <v>0.55000000000000004</v>
      </c>
      <c r="D5" s="4">
        <f>1-C5</f>
        <v>0.44999999999999996</v>
      </c>
      <c r="E5" s="6">
        <f t="shared" si="0"/>
        <v>0.121</v>
      </c>
      <c r="H5" s="13"/>
      <c r="I5" s="11"/>
      <c r="J5" s="11"/>
      <c r="K5" s="11"/>
      <c r="L5" s="12"/>
      <c r="N5" s="20"/>
    </row>
    <row r="6" spans="1:14">
      <c r="H6" s="15" t="s">
        <v>32</v>
      </c>
      <c r="I6" s="15" t="s">
        <v>39</v>
      </c>
      <c r="J6" s="15" t="s">
        <v>40</v>
      </c>
      <c r="K6" s="15" t="s">
        <v>42</v>
      </c>
      <c r="L6" s="15" t="s">
        <v>41</v>
      </c>
      <c r="N6" s="20" t="s">
        <v>44</v>
      </c>
    </row>
    <row r="7" spans="1:14">
      <c r="H7" s="16" t="s">
        <v>8</v>
      </c>
      <c r="I7" s="14">
        <v>499</v>
      </c>
      <c r="J7" s="18">
        <v>273</v>
      </c>
      <c r="K7" s="18">
        <v>63</v>
      </c>
      <c r="L7" s="18">
        <v>112</v>
      </c>
      <c r="N7" s="20" t="s">
        <v>45</v>
      </c>
    </row>
    <row r="8" spans="1:14">
      <c r="H8" s="16" t="s">
        <v>12</v>
      </c>
      <c r="I8" s="14">
        <v>362</v>
      </c>
      <c r="J8" s="18">
        <v>204</v>
      </c>
      <c r="K8" s="18">
        <v>42</v>
      </c>
      <c r="L8" s="18">
        <v>78</v>
      </c>
    </row>
    <row r="9" spans="1:14">
      <c r="H9" s="16" t="s">
        <v>19</v>
      </c>
      <c r="I9" s="14">
        <v>139</v>
      </c>
      <c r="J9" s="18">
        <v>73</v>
      </c>
      <c r="K9" s="18">
        <v>16</v>
      </c>
      <c r="L9" s="18">
        <v>30</v>
      </c>
      <c r="N9" s="3" t="s">
        <v>46</v>
      </c>
    </row>
    <row r="10" spans="1:14">
      <c r="H10" s="13"/>
      <c r="I10" s="11"/>
      <c r="J10" s="11"/>
      <c r="K10" s="11"/>
      <c r="L10" s="12"/>
      <c r="N10" s="20"/>
    </row>
    <row r="11" spans="1:14">
      <c r="H11" s="15" t="s">
        <v>33</v>
      </c>
      <c r="I11" s="15" t="s">
        <v>39</v>
      </c>
      <c r="J11" s="15" t="s">
        <v>40</v>
      </c>
      <c r="K11" s="15" t="s">
        <v>42</v>
      </c>
      <c r="L11" s="15" t="s">
        <v>41</v>
      </c>
      <c r="N11" s="20" t="s">
        <v>47</v>
      </c>
    </row>
    <row r="12" spans="1:14">
      <c r="H12" s="16" t="s">
        <v>20</v>
      </c>
      <c r="I12" s="17">
        <v>91</v>
      </c>
      <c r="J12" s="17">
        <v>46</v>
      </c>
      <c r="K12" s="17">
        <v>8</v>
      </c>
      <c r="L12" s="17">
        <v>21</v>
      </c>
      <c r="N12" s="20" t="s">
        <v>48</v>
      </c>
    </row>
    <row r="13" spans="1:14">
      <c r="H13" s="16" t="s">
        <v>17</v>
      </c>
      <c r="I13" s="17">
        <v>144</v>
      </c>
      <c r="J13" s="17">
        <v>76</v>
      </c>
      <c r="K13" s="17">
        <v>16</v>
      </c>
      <c r="L13" s="17">
        <v>30</v>
      </c>
    </row>
    <row r="14" spans="1:14">
      <c r="H14" s="16" t="s">
        <v>15</v>
      </c>
      <c r="I14" s="17">
        <v>244</v>
      </c>
      <c r="J14" s="17">
        <v>136</v>
      </c>
      <c r="K14" s="17">
        <v>22</v>
      </c>
      <c r="L14" s="17">
        <v>48</v>
      </c>
      <c r="N14" s="3" t="s">
        <v>49</v>
      </c>
    </row>
    <row r="15" spans="1:14">
      <c r="H15" s="16" t="s">
        <v>14</v>
      </c>
      <c r="I15" s="17">
        <v>218</v>
      </c>
      <c r="J15" s="17">
        <v>125</v>
      </c>
      <c r="K15" s="17">
        <v>32</v>
      </c>
      <c r="L15" s="17">
        <v>49</v>
      </c>
      <c r="N15" s="20"/>
    </row>
    <row r="16" spans="1:14">
      <c r="H16" s="16" t="s">
        <v>9</v>
      </c>
      <c r="I16" s="17">
        <v>303</v>
      </c>
      <c r="J16" s="17">
        <v>167</v>
      </c>
      <c r="K16" s="17">
        <v>43</v>
      </c>
      <c r="L16" s="17">
        <v>72</v>
      </c>
      <c r="N16" s="20" t="s">
        <v>50</v>
      </c>
    </row>
    <row r="20" spans="14:15" ht="23.5">
      <c r="N20" s="19" t="s">
        <v>77</v>
      </c>
    </row>
    <row r="22" spans="14:15" ht="18.5" customHeight="1">
      <c r="N22" s="21"/>
      <c r="O22" s="21" t="s">
        <v>51</v>
      </c>
    </row>
    <row r="23" spans="14:15" ht="29">
      <c r="N23" s="22" t="s">
        <v>6</v>
      </c>
      <c r="O23" s="22" t="s">
        <v>52</v>
      </c>
    </row>
    <row r="24" spans="14:15" ht="29">
      <c r="N24" s="22" t="s">
        <v>10</v>
      </c>
      <c r="O24" s="22" t="s">
        <v>53</v>
      </c>
    </row>
    <row r="25" spans="14:15">
      <c r="N25" s="20"/>
    </row>
    <row r="26" spans="14:15">
      <c r="N26" s="20" t="s">
        <v>54</v>
      </c>
    </row>
    <row r="27" spans="14:15">
      <c r="N27" s="20" t="s">
        <v>55</v>
      </c>
    </row>
    <row r="31" spans="14:15" ht="23.5">
      <c r="N31" s="19" t="s">
        <v>78</v>
      </c>
    </row>
    <row r="33" spans="14:15" ht="13.5" customHeight="1">
      <c r="N33" s="21"/>
      <c r="O33" s="21" t="s">
        <v>51</v>
      </c>
    </row>
    <row r="34" spans="14:15" ht="29">
      <c r="N34" s="22" t="s">
        <v>8</v>
      </c>
      <c r="O34" s="22" t="s">
        <v>56</v>
      </c>
    </row>
    <row r="35" spans="14:15" ht="29">
      <c r="N35" s="22" t="s">
        <v>12</v>
      </c>
      <c r="O35" s="22" t="s">
        <v>57</v>
      </c>
    </row>
    <row r="36" spans="14:15" ht="29">
      <c r="N36" s="22" t="s">
        <v>19</v>
      </c>
      <c r="O36" s="22" t="s">
        <v>58</v>
      </c>
    </row>
    <row r="37" spans="14:15">
      <c r="N37" s="20"/>
    </row>
    <row r="38" spans="14:15">
      <c r="N38" s="20" t="s">
        <v>59</v>
      </c>
    </row>
    <row r="39" spans="14:15">
      <c r="N39" s="20" t="s">
        <v>60</v>
      </c>
    </row>
    <row r="40" spans="14:15">
      <c r="N40" s="20" t="s">
        <v>61</v>
      </c>
    </row>
    <row r="44" spans="14:15" ht="23.5">
      <c r="N44" s="19" t="s">
        <v>79</v>
      </c>
    </row>
    <row r="46" spans="14:15" ht="16" customHeight="1">
      <c r="N46" s="21" t="s">
        <v>62</v>
      </c>
      <c r="O46" s="21" t="s">
        <v>51</v>
      </c>
    </row>
    <row r="47" spans="14:15" ht="43.5">
      <c r="N47" s="22" t="s">
        <v>9</v>
      </c>
      <c r="O47" s="22" t="s">
        <v>63</v>
      </c>
    </row>
    <row r="48" spans="14:15" ht="43.5">
      <c r="N48" s="22" t="s">
        <v>14</v>
      </c>
      <c r="O48" s="22" t="s">
        <v>64</v>
      </c>
    </row>
    <row r="49" spans="14:15" ht="29">
      <c r="N49" s="22" t="s">
        <v>15</v>
      </c>
      <c r="O49" s="22" t="s">
        <v>65</v>
      </c>
    </row>
    <row r="50" spans="14:15" ht="29">
      <c r="N50" s="22" t="s">
        <v>17</v>
      </c>
      <c r="O50" s="22" t="s">
        <v>66</v>
      </c>
    </row>
    <row r="51" spans="14:15" ht="29">
      <c r="N51" s="22" t="s">
        <v>20</v>
      </c>
      <c r="O51" s="22" t="s">
        <v>67</v>
      </c>
    </row>
    <row r="53" spans="14:15">
      <c r="N53" s="3" t="s">
        <v>68</v>
      </c>
    </row>
    <row r="54" spans="14:15">
      <c r="N54" s="20"/>
    </row>
    <row r="55" spans="14:15">
      <c r="N55" s="23" t="s">
        <v>69</v>
      </c>
    </row>
    <row r="56" spans="14:15">
      <c r="N56" s="23" t="s">
        <v>70</v>
      </c>
    </row>
    <row r="57" spans="14:15">
      <c r="N57" s="23" t="s">
        <v>71</v>
      </c>
    </row>
    <row r="61" spans="14:15" ht="23.5">
      <c r="N61" s="19" t="s">
        <v>72</v>
      </c>
    </row>
    <row r="63" spans="14:15">
      <c r="N63" s="3" t="s">
        <v>73</v>
      </c>
    </row>
    <row r="65" spans="14:14">
      <c r="N65" s="3" t="s">
        <v>74</v>
      </c>
    </row>
    <row r="67" spans="14:14">
      <c r="N67" s="3" t="s">
        <v>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0A721-77BB-4AB8-8A47-BD81ACAD39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user_table</vt:lpstr>
      <vt:lpstr>home_page</vt:lpstr>
      <vt:lpstr>search_page</vt:lpstr>
      <vt:lpstr>confirmation_page</vt:lpstr>
      <vt:lpstr>payment_page</vt:lpstr>
      <vt:lpstr>Funnel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Mekhala Ganguly</dc:creator>
  <cp:lastModifiedBy>Mekhala Ganguly</cp:lastModifiedBy>
  <dcterms:created xsi:type="dcterms:W3CDTF">2026-03-08T21:41:10Z</dcterms:created>
  <dcterms:modified xsi:type="dcterms:W3CDTF">2026-03-10T18:43:51Z</dcterms:modified>
</cp:coreProperties>
</file>